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-120" yWindow="-120" windowWidth="24240" windowHeight="13020" tabRatio="661" firstSheet="1" activeTab="1"/>
  </bookViews>
  <sheets>
    <sheet name="Form_I DP" sheetId="2" state="hidden" r:id="rId1"/>
    <sheet name="Rural" sheetId="30" r:id="rId2"/>
    <sheet name="Urban" sheetId="31" r:id="rId3"/>
    <sheet name="Matrix" sheetId="16" state="hidden" r:id="rId4"/>
    <sheet name="Sheet1" sheetId="18" state="hidden" r:id="rId5"/>
    <sheet name="Sheet2" sheetId="19" state="hidden" r:id="rId6"/>
  </sheets>
  <externalReferences>
    <externalReference r:id="rId7"/>
  </externalReferences>
  <definedNames>
    <definedName name="ASHANOD">OFFSET(#REF!,MATCH(#REF!,#REF!,0)-1,1,COUNTIF(#REF!,#REF!),1)</definedName>
    <definedName name="DCB">OFFSET(Sheet1!$E1048574,MATCH(Sheet1!$H1,Sheet1!$E:$E,0)-1,1,COUNTIF(Sheet1!$E:$E,Sheet1!$H1),1)</definedName>
    <definedName name="Districts">[1]Lists3!$AR$4:$AR$79</definedName>
    <definedName name="DMT" localSheetId="1">(OFFSET(Rural!AO1048573,MATCH(Rural!$B1,Rural!$AS:$AS,0)-1,1,COUNTIF(Rural!$AS:$AS,Rural!$B1),1))</definedName>
    <definedName name="DMT" localSheetId="2">(OFFSET(Urban!AO1048573,MATCH(Urban!$B1,Urban!$AS:$AS,0)-1,1,COUNTIF(Urban!$AS:$AS,Urban!$B1),1))</definedName>
    <definedName name="DMT">(OFFSET(#REF!,MATCH(#REF!,#REF!,0)-1,1,COUNTIF(#REF!,#REF!),1))</definedName>
    <definedName name="DT">OFFSET('Form_I DP'!$AS1048573,MATCH('Form_I DP'!$C1,'Form_I DP'!$AS:$AS,0)-1,1,COUNTIF('Form_I DP'!$AS:$AS,'Form_I DP'!$C1),1)</definedName>
    <definedName name="HC">Sheet1!$C$4:$C$14</definedName>
    <definedName name="HCB">OFFSET(Sheet1!$D1048574,MATCH(Sheet1!$G1,Sheet1!$D:$D,0)-1,1,COUNTIF(Sheet1!$D:$D,Sheet1!$G1),1)</definedName>
    <definedName name="HCD">Sheet1!$C$4:$C$16</definedName>
    <definedName name="India">[1]Lists3!$B$4:$B$40</definedName>
    <definedName name="Month">[1]Lists3!$AN$4:$AN$16</definedName>
    <definedName name="Monthlist">#REF!</definedName>
    <definedName name="_xlnm.Print_Area" localSheetId="0">'Form_I DP'!$B$1:$H$51</definedName>
    <definedName name="_xlnm.Print_Area" localSheetId="1">Rural!$A$1:$S$181</definedName>
    <definedName name="_xlnm.Print_Area" localSheetId="2">Urban!$A$1:$S$181</definedName>
    <definedName name="_xlnm.Print_Titles" localSheetId="1">Rural!$1:$4</definedName>
    <definedName name="_xlnm.Print_Titles" localSheetId="2">Urban!$1:$4</definedName>
    <definedName name="PTD">OFFSET(#REF!,MATCH(#REF!,#REF!,0)-1,1,COUNTIF(#REF!,#REF!),1)</definedName>
    <definedName name="Six_Years">#REF!,#REF!,#REF!,#REF!,#REF!,#REF!,#REF!,#REF!,#REF!,#REF!,#REF!,#REF!,#REF!,#REF!,#REF!,#REF!,#REF!,#REF!,#REF!,#REF!,#REF!,#REF!,#REF!,#REF!,#REF!,#REF!,#REF!,#REF!,#REF!,#REF!,#REF!,#REF!,#REF!,#REF!,#REF!,#REF!,#REF!,#REF!</definedName>
    <definedName name="Statelist">'Form_I DP'!$AR$2:$AR$41</definedName>
    <definedName name="STD">OFFSET(#REF!,MATCH(#REF!,#REF!,0)-1,1,COUNTIF(#REF!,#REF!),1)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1" i="31"/>
  <c r="J181"/>
  <c r="I181"/>
  <c r="H181"/>
  <c r="G181"/>
  <c r="F181"/>
  <c r="E181"/>
  <c r="N181" s="1"/>
  <c r="D181"/>
  <c r="M181" s="1"/>
  <c r="C181"/>
  <c r="L181" s="1"/>
  <c r="K180"/>
  <c r="J180"/>
  <c r="I180"/>
  <c r="H180"/>
  <c r="G180"/>
  <c r="F180"/>
  <c r="E180"/>
  <c r="N180" s="1"/>
  <c r="D180"/>
  <c r="M180" s="1"/>
  <c r="C180"/>
  <c r="L180" s="1"/>
  <c r="K179"/>
  <c r="J179"/>
  <c r="I179"/>
  <c r="H179"/>
  <c r="G179"/>
  <c r="F179"/>
  <c r="E179"/>
  <c r="N179" s="1"/>
  <c r="D179"/>
  <c r="M179" s="1"/>
  <c r="C179"/>
  <c r="L179" s="1"/>
  <c r="K178"/>
  <c r="J178"/>
  <c r="I178"/>
  <c r="H178"/>
  <c r="G178"/>
  <c r="F178"/>
  <c r="E178"/>
  <c r="N178" s="1"/>
  <c r="D178"/>
  <c r="M178" s="1"/>
  <c r="C178"/>
  <c r="L178" s="1"/>
  <c r="K177"/>
  <c r="J177"/>
  <c r="I177"/>
  <c r="H177"/>
  <c r="G177"/>
  <c r="F177"/>
  <c r="E177"/>
  <c r="D177"/>
  <c r="C177"/>
  <c r="K176"/>
  <c r="J176"/>
  <c r="I176"/>
  <c r="H176"/>
  <c r="G176"/>
  <c r="F176"/>
  <c r="E176"/>
  <c r="D176"/>
  <c r="C176"/>
  <c r="K175"/>
  <c r="J175"/>
  <c r="I175"/>
  <c r="H175"/>
  <c r="G175"/>
  <c r="F175"/>
  <c r="E175"/>
  <c r="D175"/>
  <c r="C175"/>
  <c r="L174"/>
  <c r="K174"/>
  <c r="J174"/>
  <c r="I174"/>
  <c r="H174"/>
  <c r="G174"/>
  <c r="F174"/>
  <c r="E174"/>
  <c r="D174"/>
  <c r="C174"/>
  <c r="K173"/>
  <c r="K183" s="1"/>
  <c r="J173"/>
  <c r="J183" s="1"/>
  <c r="I173"/>
  <c r="I183" s="1"/>
  <c r="S11" s="1"/>
  <c r="H173"/>
  <c r="H183" s="1"/>
  <c r="G173"/>
  <c r="G183" s="1"/>
  <c r="F173"/>
  <c r="F183" s="1"/>
  <c r="M11" s="1"/>
  <c r="E173"/>
  <c r="E183" s="1"/>
  <c r="N183" s="1"/>
  <c r="D173"/>
  <c r="D183" s="1"/>
  <c r="M183" s="1"/>
  <c r="C173"/>
  <c r="C183" s="1"/>
  <c r="K172"/>
  <c r="K182" s="1"/>
  <c r="J172"/>
  <c r="J182" s="1"/>
  <c r="I172"/>
  <c r="I182" s="1"/>
  <c r="S10" s="1"/>
  <c r="S12" s="1"/>
  <c r="H172"/>
  <c r="H182" s="1"/>
  <c r="G172"/>
  <c r="G182" s="1"/>
  <c r="F172"/>
  <c r="F182" s="1"/>
  <c r="M10" s="1"/>
  <c r="M12" s="1"/>
  <c r="E172"/>
  <c r="E182" s="1"/>
  <c r="N182" s="1"/>
  <c r="D172"/>
  <c r="D182" s="1"/>
  <c r="M182" s="1"/>
  <c r="C172"/>
  <c r="C182" s="1"/>
  <c r="N171"/>
  <c r="M171"/>
  <c r="L171"/>
  <c r="N170"/>
  <c r="M170"/>
  <c r="L170"/>
  <c r="N169"/>
  <c r="M169"/>
  <c r="L169"/>
  <c r="N168"/>
  <c r="M168"/>
  <c r="L168"/>
  <c r="N167"/>
  <c r="M167"/>
  <c r="L167"/>
  <c r="N166"/>
  <c r="M166"/>
  <c r="L166"/>
  <c r="N165"/>
  <c r="M165"/>
  <c r="L165"/>
  <c r="N164"/>
  <c r="M164"/>
  <c r="L164"/>
  <c r="N163"/>
  <c r="M163"/>
  <c r="L163"/>
  <c r="N162"/>
  <c r="M162"/>
  <c r="L162"/>
  <c r="N161"/>
  <c r="M161"/>
  <c r="L161"/>
  <c r="N160"/>
  <c r="M160"/>
  <c r="L160"/>
  <c r="N159"/>
  <c r="M159"/>
  <c r="L159"/>
  <c r="N158"/>
  <c r="M158"/>
  <c r="L158"/>
  <c r="N157"/>
  <c r="M157"/>
  <c r="L157"/>
  <c r="N156"/>
  <c r="M156"/>
  <c r="L156"/>
  <c r="N155"/>
  <c r="M155"/>
  <c r="L155"/>
  <c r="N154"/>
  <c r="M154"/>
  <c r="L154"/>
  <c r="N153"/>
  <c r="M153"/>
  <c r="L153"/>
  <c r="N152"/>
  <c r="M152"/>
  <c r="L152"/>
  <c r="N151"/>
  <c r="M151"/>
  <c r="L151"/>
  <c r="N150"/>
  <c r="M150"/>
  <c r="L150"/>
  <c r="N149"/>
  <c r="M149"/>
  <c r="L149"/>
  <c r="N148"/>
  <c r="M148"/>
  <c r="L148"/>
  <c r="N147"/>
  <c r="M147"/>
  <c r="L147"/>
  <c r="N146"/>
  <c r="M146"/>
  <c r="L146"/>
  <c r="N145"/>
  <c r="M145"/>
  <c r="L145"/>
  <c r="N144"/>
  <c r="M144"/>
  <c r="L144"/>
  <c r="N143"/>
  <c r="M143"/>
  <c r="L143"/>
  <c r="N142"/>
  <c r="M142"/>
  <c r="L142"/>
  <c r="N141"/>
  <c r="M141"/>
  <c r="L141"/>
  <c r="N140"/>
  <c r="M140"/>
  <c r="L140"/>
  <c r="N139"/>
  <c r="M139"/>
  <c r="L139"/>
  <c r="N138"/>
  <c r="M138"/>
  <c r="L138"/>
  <c r="N137"/>
  <c r="M137"/>
  <c r="L137"/>
  <c r="N136"/>
  <c r="M136"/>
  <c r="L136"/>
  <c r="N135"/>
  <c r="M135"/>
  <c r="L135"/>
  <c r="N134"/>
  <c r="M134"/>
  <c r="L134"/>
  <c r="N133"/>
  <c r="M133"/>
  <c r="L133"/>
  <c r="N132"/>
  <c r="M132"/>
  <c r="L132"/>
  <c r="N131"/>
  <c r="M131"/>
  <c r="L131"/>
  <c r="N130"/>
  <c r="M130"/>
  <c r="L130"/>
  <c r="N129"/>
  <c r="M129"/>
  <c r="L129"/>
  <c r="N128"/>
  <c r="M128"/>
  <c r="L128"/>
  <c r="N127"/>
  <c r="M127"/>
  <c r="L127"/>
  <c r="N126"/>
  <c r="M126"/>
  <c r="L126"/>
  <c r="N125"/>
  <c r="M125"/>
  <c r="L125"/>
  <c r="N124"/>
  <c r="M124"/>
  <c r="L124"/>
  <c r="N123"/>
  <c r="M123"/>
  <c r="L123"/>
  <c r="N122"/>
  <c r="M122"/>
  <c r="L122"/>
  <c r="N121"/>
  <c r="M121"/>
  <c r="L121"/>
  <c r="N120"/>
  <c r="M120"/>
  <c r="L120"/>
  <c r="N119"/>
  <c r="N177" s="1"/>
  <c r="M119"/>
  <c r="M177" s="1"/>
  <c r="L119"/>
  <c r="L177" s="1"/>
  <c r="N118"/>
  <c r="N176" s="1"/>
  <c r="M118"/>
  <c r="M176" s="1"/>
  <c r="L118"/>
  <c r="L176" s="1"/>
  <c r="N117"/>
  <c r="N175" s="1"/>
  <c r="M117"/>
  <c r="M175" s="1"/>
  <c r="L117"/>
  <c r="L175" s="1"/>
  <c r="N116"/>
  <c r="N174" s="1"/>
  <c r="M116"/>
  <c r="M174" s="1"/>
  <c r="L116"/>
  <c r="N115"/>
  <c r="M115"/>
  <c r="L115"/>
  <c r="N114"/>
  <c r="M114"/>
  <c r="L114"/>
  <c r="N113"/>
  <c r="M113"/>
  <c r="L113"/>
  <c r="N112"/>
  <c r="M112"/>
  <c r="L112"/>
  <c r="N111"/>
  <c r="M111"/>
  <c r="L111"/>
  <c r="N110"/>
  <c r="M110"/>
  <c r="L110"/>
  <c r="N109"/>
  <c r="M109"/>
  <c r="L109"/>
  <c r="N108"/>
  <c r="M108"/>
  <c r="L108"/>
  <c r="N107"/>
  <c r="M107"/>
  <c r="L107"/>
  <c r="N106"/>
  <c r="M106"/>
  <c r="L106"/>
  <c r="N105"/>
  <c r="M105"/>
  <c r="L105"/>
  <c r="N104"/>
  <c r="M104"/>
  <c r="L104"/>
  <c r="N103"/>
  <c r="M103"/>
  <c r="L103"/>
  <c r="N102"/>
  <c r="M102"/>
  <c r="L102"/>
  <c r="N101"/>
  <c r="M101"/>
  <c r="L101"/>
  <c r="N100"/>
  <c r="M100"/>
  <c r="L100"/>
  <c r="N99"/>
  <c r="M99"/>
  <c r="L99"/>
  <c r="N98"/>
  <c r="M98"/>
  <c r="L98"/>
  <c r="N97"/>
  <c r="M97"/>
  <c r="L97"/>
  <c r="N96"/>
  <c r="M96"/>
  <c r="L96"/>
  <c r="N95"/>
  <c r="M95"/>
  <c r="L95"/>
  <c r="N94"/>
  <c r="M94"/>
  <c r="L94"/>
  <c r="N93"/>
  <c r="M93"/>
  <c r="L93"/>
  <c r="N92"/>
  <c r="M92"/>
  <c r="L92"/>
  <c r="N91"/>
  <c r="M91"/>
  <c r="L91"/>
  <c r="N90"/>
  <c r="M90"/>
  <c r="L90"/>
  <c r="N89"/>
  <c r="M89"/>
  <c r="L89"/>
  <c r="N88"/>
  <c r="M88"/>
  <c r="L88"/>
  <c r="N87"/>
  <c r="M87"/>
  <c r="L87"/>
  <c r="N86"/>
  <c r="M86"/>
  <c r="L86"/>
  <c r="N85"/>
  <c r="M85"/>
  <c r="L85"/>
  <c r="N84"/>
  <c r="M84"/>
  <c r="L84"/>
  <c r="N83"/>
  <c r="M83"/>
  <c r="L83"/>
  <c r="N82"/>
  <c r="M82"/>
  <c r="L82"/>
  <c r="N81"/>
  <c r="M81"/>
  <c r="L81"/>
  <c r="N80"/>
  <c r="M80"/>
  <c r="L80"/>
  <c r="N79"/>
  <c r="N173" s="1"/>
  <c r="M79"/>
  <c r="M173" s="1"/>
  <c r="L79"/>
  <c r="L173" s="1"/>
  <c r="N78"/>
  <c r="N172" s="1"/>
  <c r="M78"/>
  <c r="M172" s="1"/>
  <c r="L78"/>
  <c r="L172" s="1"/>
  <c r="A78"/>
  <c r="J75"/>
  <c r="M75" s="1"/>
  <c r="I75"/>
  <c r="J74"/>
  <c r="M74" s="1"/>
  <c r="I74"/>
  <c r="J73"/>
  <c r="M73" s="1"/>
  <c r="I73"/>
  <c r="J72"/>
  <c r="M72" s="1"/>
  <c r="I72"/>
  <c r="M71"/>
  <c r="J71"/>
  <c r="I71"/>
  <c r="L70"/>
  <c r="J70"/>
  <c r="I70"/>
  <c r="M69"/>
  <c r="L69"/>
  <c r="N69" s="1"/>
  <c r="K69"/>
  <c r="J69"/>
  <c r="I69"/>
  <c r="J68"/>
  <c r="M68" s="1"/>
  <c r="I68"/>
  <c r="G67"/>
  <c r="F67"/>
  <c r="H67" s="1"/>
  <c r="D67"/>
  <c r="C67"/>
  <c r="J66"/>
  <c r="M66" s="1"/>
  <c r="I66"/>
  <c r="J65"/>
  <c r="M65" s="1"/>
  <c r="I65"/>
  <c r="J64"/>
  <c r="M64" s="1"/>
  <c r="I64"/>
  <c r="J63"/>
  <c r="I63"/>
  <c r="K63" s="1"/>
  <c r="G63"/>
  <c r="F63"/>
  <c r="H63" s="1"/>
  <c r="D63"/>
  <c r="M63" s="1"/>
  <c r="C63"/>
  <c r="J62"/>
  <c r="I62"/>
  <c r="K62" s="1"/>
  <c r="G62"/>
  <c r="F62"/>
  <c r="H62" s="1"/>
  <c r="D62"/>
  <c r="M62" s="1"/>
  <c r="C62"/>
  <c r="J61"/>
  <c r="I61"/>
  <c r="K61" s="1"/>
  <c r="G61"/>
  <c r="F61"/>
  <c r="H61" s="1"/>
  <c r="D61"/>
  <c r="M61" s="1"/>
  <c r="C61"/>
  <c r="J60"/>
  <c r="I60"/>
  <c r="K60" s="1"/>
  <c r="G60"/>
  <c r="F60"/>
  <c r="H60" s="1"/>
  <c r="D60"/>
  <c r="M60" s="1"/>
  <c r="C60"/>
  <c r="J59"/>
  <c r="I59"/>
  <c r="K59" s="1"/>
  <c r="G59"/>
  <c r="F59"/>
  <c r="H59" s="1"/>
  <c r="D59"/>
  <c r="M59" s="1"/>
  <c r="C59"/>
  <c r="J58"/>
  <c r="I58"/>
  <c r="K58" s="1"/>
  <c r="G58"/>
  <c r="F58"/>
  <c r="H58" s="1"/>
  <c r="D58"/>
  <c r="M58" s="1"/>
  <c r="C58"/>
  <c r="J57"/>
  <c r="I57"/>
  <c r="K57" s="1"/>
  <c r="G57"/>
  <c r="F57"/>
  <c r="H57" s="1"/>
  <c r="D57"/>
  <c r="M57" s="1"/>
  <c r="C57"/>
  <c r="J56"/>
  <c r="I56"/>
  <c r="K56" s="1"/>
  <c r="G56"/>
  <c r="F56"/>
  <c r="H56" s="1"/>
  <c r="D56"/>
  <c r="M56" s="1"/>
  <c r="C56"/>
  <c r="J55"/>
  <c r="I55"/>
  <c r="K55" s="1"/>
  <c r="G55"/>
  <c r="F55"/>
  <c r="H55" s="1"/>
  <c r="D55"/>
  <c r="C55"/>
  <c r="J54"/>
  <c r="J46" s="1"/>
  <c r="I54"/>
  <c r="G54"/>
  <c r="F54"/>
  <c r="E54"/>
  <c r="D54"/>
  <c r="C54"/>
  <c r="J53"/>
  <c r="I53"/>
  <c r="K53" s="1"/>
  <c r="G53"/>
  <c r="F53"/>
  <c r="H53" s="1"/>
  <c r="D53"/>
  <c r="M53" s="1"/>
  <c r="C53"/>
  <c r="J52"/>
  <c r="I52"/>
  <c r="K52" s="1"/>
  <c r="G52"/>
  <c r="F52"/>
  <c r="H52" s="1"/>
  <c r="D52"/>
  <c r="M52" s="1"/>
  <c r="C52"/>
  <c r="J51"/>
  <c r="I51"/>
  <c r="K51" s="1"/>
  <c r="G51"/>
  <c r="F51"/>
  <c r="H51" s="1"/>
  <c r="D51"/>
  <c r="M51" s="1"/>
  <c r="C51"/>
  <c r="J50"/>
  <c r="I50"/>
  <c r="K50" s="1"/>
  <c r="G50"/>
  <c r="F50"/>
  <c r="H50" s="1"/>
  <c r="D50"/>
  <c r="M50" s="1"/>
  <c r="C50"/>
  <c r="J49"/>
  <c r="M49" s="1"/>
  <c r="I49"/>
  <c r="J48"/>
  <c r="I48"/>
  <c r="K48" s="1"/>
  <c r="G48"/>
  <c r="F48"/>
  <c r="H48" s="1"/>
  <c r="D48"/>
  <c r="M48" s="1"/>
  <c r="C48"/>
  <c r="J47"/>
  <c r="I47"/>
  <c r="K47" s="1"/>
  <c r="G47"/>
  <c r="F47"/>
  <c r="H47" s="1"/>
  <c r="D47"/>
  <c r="M47" s="1"/>
  <c r="C47"/>
  <c r="J45"/>
  <c r="I45"/>
  <c r="K45" s="1"/>
  <c r="G45"/>
  <c r="F45"/>
  <c r="H45" s="1"/>
  <c r="D45"/>
  <c r="M45" s="1"/>
  <c r="C45"/>
  <c r="K44"/>
  <c r="G44"/>
  <c r="F44"/>
  <c r="H44" s="1"/>
  <c r="D44"/>
  <c r="M44" s="1"/>
  <c r="C44"/>
  <c r="J43"/>
  <c r="I43"/>
  <c r="K43" s="1"/>
  <c r="G43"/>
  <c r="F43"/>
  <c r="H43" s="1"/>
  <c r="D43"/>
  <c r="M43" s="1"/>
  <c r="C43"/>
  <c r="J42"/>
  <c r="I42"/>
  <c r="K42" s="1"/>
  <c r="G42"/>
  <c r="M42" s="1"/>
  <c r="F42"/>
  <c r="E42"/>
  <c r="J41"/>
  <c r="I41"/>
  <c r="K40"/>
  <c r="G40"/>
  <c r="G36" s="1"/>
  <c r="F40"/>
  <c r="D40"/>
  <c r="C40"/>
  <c r="M39"/>
  <c r="L39"/>
  <c r="N39" s="1"/>
  <c r="J39"/>
  <c r="I39"/>
  <c r="K39" s="1"/>
  <c r="G39"/>
  <c r="F39"/>
  <c r="H39" s="1"/>
  <c r="D39"/>
  <c r="C39"/>
  <c r="E39" s="1"/>
  <c r="J38"/>
  <c r="I38"/>
  <c r="K38" s="1"/>
  <c r="G38"/>
  <c r="F38"/>
  <c r="H38" s="1"/>
  <c r="D38"/>
  <c r="M38" s="1"/>
  <c r="C38"/>
  <c r="J37"/>
  <c r="I37"/>
  <c r="K37" s="1"/>
  <c r="G37"/>
  <c r="F37"/>
  <c r="H37" s="1"/>
  <c r="D37"/>
  <c r="M37" s="1"/>
  <c r="C37"/>
  <c r="J35"/>
  <c r="I35"/>
  <c r="K35" s="1"/>
  <c r="G35"/>
  <c r="F35"/>
  <c r="H35" s="1"/>
  <c r="D35"/>
  <c r="M35" s="1"/>
  <c r="C35"/>
  <c r="J34"/>
  <c r="I34"/>
  <c r="K34" s="1"/>
  <c r="G34"/>
  <c r="F34"/>
  <c r="H34" s="1"/>
  <c r="D34"/>
  <c r="M34" s="1"/>
  <c r="C34"/>
  <c r="J33"/>
  <c r="I33"/>
  <c r="K33" s="1"/>
  <c r="G33"/>
  <c r="F33"/>
  <c r="H33" s="1"/>
  <c r="D33"/>
  <c r="M33" s="1"/>
  <c r="C33"/>
  <c r="J32"/>
  <c r="I32"/>
  <c r="K32" s="1"/>
  <c r="G32"/>
  <c r="F32"/>
  <c r="H32" s="1"/>
  <c r="D32"/>
  <c r="M32" s="1"/>
  <c r="C32"/>
  <c r="J31"/>
  <c r="I31"/>
  <c r="K31" s="1"/>
  <c r="G31"/>
  <c r="F31"/>
  <c r="H31" s="1"/>
  <c r="D31"/>
  <c r="M31" s="1"/>
  <c r="C31"/>
  <c r="J30"/>
  <c r="I30"/>
  <c r="K30" s="1"/>
  <c r="G30"/>
  <c r="F30"/>
  <c r="H30" s="1"/>
  <c r="D30"/>
  <c r="M30" s="1"/>
  <c r="C30"/>
  <c r="J29"/>
  <c r="I29"/>
  <c r="K29" s="1"/>
  <c r="G29"/>
  <c r="F29"/>
  <c r="H29" s="1"/>
  <c r="D29"/>
  <c r="M29" s="1"/>
  <c r="C29"/>
  <c r="J28"/>
  <c r="I28"/>
  <c r="K28" s="1"/>
  <c r="G28"/>
  <c r="F28"/>
  <c r="H28" s="1"/>
  <c r="D28"/>
  <c r="M28" s="1"/>
  <c r="C28"/>
  <c r="J27"/>
  <c r="I27"/>
  <c r="K27" s="1"/>
  <c r="G27"/>
  <c r="F27"/>
  <c r="H27" s="1"/>
  <c r="D27"/>
  <c r="M27" s="1"/>
  <c r="C27"/>
  <c r="J26"/>
  <c r="I26"/>
  <c r="K26" s="1"/>
  <c r="G26"/>
  <c r="F26"/>
  <c r="H26" s="1"/>
  <c r="D26"/>
  <c r="M26" s="1"/>
  <c r="C26"/>
  <c r="J25"/>
  <c r="I25"/>
  <c r="K25" s="1"/>
  <c r="G25"/>
  <c r="F25"/>
  <c r="H25" s="1"/>
  <c r="D25"/>
  <c r="M25" s="1"/>
  <c r="C25"/>
  <c r="J24"/>
  <c r="I24"/>
  <c r="K24" s="1"/>
  <c r="G24"/>
  <c r="F24"/>
  <c r="H24" s="1"/>
  <c r="D24"/>
  <c r="M24" s="1"/>
  <c r="C24"/>
  <c r="M23"/>
  <c r="L23"/>
  <c r="N23" s="1"/>
  <c r="K23"/>
  <c r="H23"/>
  <c r="E23"/>
  <c r="Q19"/>
  <c r="P19"/>
  <c r="O19"/>
  <c r="Q18"/>
  <c r="P18"/>
  <c r="O18"/>
  <c r="Q17"/>
  <c r="P17"/>
  <c r="O17"/>
  <c r="Q16"/>
  <c r="P16"/>
  <c r="O16"/>
  <c r="R12"/>
  <c r="P12"/>
  <c r="Q12" s="1"/>
  <c r="N12"/>
  <c r="L12"/>
  <c r="J12"/>
  <c r="K12" s="1"/>
  <c r="H12"/>
  <c r="F12"/>
  <c r="D12"/>
  <c r="E12" s="1"/>
  <c r="B12"/>
  <c r="Q11"/>
  <c r="O11"/>
  <c r="K11"/>
  <c r="I11"/>
  <c r="E11"/>
  <c r="C11"/>
  <c r="Q10"/>
  <c r="O10"/>
  <c r="O12" s="1"/>
  <c r="K10"/>
  <c r="I10"/>
  <c r="I12" s="1"/>
  <c r="E10"/>
  <c r="C10"/>
  <c r="C12" s="1"/>
  <c r="AW2"/>
  <c r="J75" i="30"/>
  <c r="I75"/>
  <c r="J74"/>
  <c r="I74"/>
  <c r="J73"/>
  <c r="I73"/>
  <c r="I72"/>
  <c r="J71"/>
  <c r="I71"/>
  <c r="J70"/>
  <c r="I70"/>
  <c r="J69"/>
  <c r="I69"/>
  <c r="J68"/>
  <c r="I68"/>
  <c r="J65"/>
  <c r="I65"/>
  <c r="J63"/>
  <c r="I63"/>
  <c r="J61"/>
  <c r="I61"/>
  <c r="J60"/>
  <c r="I60"/>
  <c r="J59"/>
  <c r="I59"/>
  <c r="J58"/>
  <c r="I58"/>
  <c r="G63"/>
  <c r="F63"/>
  <c r="G61"/>
  <c r="F61"/>
  <c r="G60"/>
  <c r="F60"/>
  <c r="G59"/>
  <c r="F59"/>
  <c r="G58"/>
  <c r="G57"/>
  <c r="D63"/>
  <c r="C63"/>
  <c r="D61"/>
  <c r="C61"/>
  <c r="D60"/>
  <c r="D59"/>
  <c r="C59"/>
  <c r="D58"/>
  <c r="C58"/>
  <c r="D57"/>
  <c r="C57"/>
  <c r="J55"/>
  <c r="I55"/>
  <c r="J54"/>
  <c r="I54"/>
  <c r="J53"/>
  <c r="I53"/>
  <c r="J52"/>
  <c r="I52"/>
  <c r="J50"/>
  <c r="I50"/>
  <c r="J49"/>
  <c r="I49"/>
  <c r="J47"/>
  <c r="I47"/>
  <c r="G55"/>
  <c r="F55"/>
  <c r="G54"/>
  <c r="F54"/>
  <c r="G53"/>
  <c r="F53"/>
  <c r="G52"/>
  <c r="F52"/>
  <c r="G50"/>
  <c r="F50"/>
  <c r="D55"/>
  <c r="C55"/>
  <c r="D54"/>
  <c r="C54"/>
  <c r="D53"/>
  <c r="C53"/>
  <c r="D52"/>
  <c r="C52"/>
  <c r="D50"/>
  <c r="C50"/>
  <c r="F48"/>
  <c r="D48"/>
  <c r="C48"/>
  <c r="J43"/>
  <c r="I43"/>
  <c r="J41"/>
  <c r="I41"/>
  <c r="G44"/>
  <c r="F44"/>
  <c r="G43"/>
  <c r="G42"/>
  <c r="F42"/>
  <c r="D44"/>
  <c r="C44"/>
  <c r="D43"/>
  <c r="C43"/>
  <c r="J39"/>
  <c r="I39"/>
  <c r="J38"/>
  <c r="I38"/>
  <c r="G40"/>
  <c r="F40"/>
  <c r="G39"/>
  <c r="F39"/>
  <c r="G38"/>
  <c r="F38"/>
  <c r="C40"/>
  <c r="D39"/>
  <c r="C39"/>
  <c r="D38"/>
  <c r="C38"/>
  <c r="J35"/>
  <c r="I35"/>
  <c r="J34"/>
  <c r="I34"/>
  <c r="J33"/>
  <c r="I33"/>
  <c r="J32"/>
  <c r="J31"/>
  <c r="I31"/>
  <c r="J30"/>
  <c r="I30"/>
  <c r="J29"/>
  <c r="I29"/>
  <c r="J28"/>
  <c r="I28"/>
  <c r="J27"/>
  <c r="I27"/>
  <c r="J26"/>
  <c r="I26"/>
  <c r="J25"/>
  <c r="I25"/>
  <c r="G35"/>
  <c r="F35"/>
  <c r="G34"/>
  <c r="F34"/>
  <c r="G33"/>
  <c r="F33"/>
  <c r="G32"/>
  <c r="G31"/>
  <c r="F31"/>
  <c r="G30"/>
  <c r="F30"/>
  <c r="G29"/>
  <c r="F29"/>
  <c r="G28"/>
  <c r="F28"/>
  <c r="G27"/>
  <c r="F27"/>
  <c r="F26"/>
  <c r="G25"/>
  <c r="F25"/>
  <c r="D35"/>
  <c r="C35"/>
  <c r="D34"/>
  <c r="C34"/>
  <c r="D33"/>
  <c r="C33"/>
  <c r="C32"/>
  <c r="D31"/>
  <c r="D30"/>
  <c r="C30"/>
  <c r="D29"/>
  <c r="C29"/>
  <c r="D28"/>
  <c r="C28"/>
  <c r="D27"/>
  <c r="C27"/>
  <c r="D26"/>
  <c r="D25"/>
  <c r="C25"/>
  <c r="G11" i="31" l="1"/>
  <c r="L183"/>
  <c r="L182"/>
  <c r="G10"/>
  <c r="G12" s="1"/>
  <c r="L75"/>
  <c r="N75" s="1"/>
  <c r="K75"/>
  <c r="L74"/>
  <c r="N74" s="1"/>
  <c r="K74"/>
  <c r="L73"/>
  <c r="N73" s="1"/>
  <c r="K73"/>
  <c r="K72"/>
  <c r="L72"/>
  <c r="N72" s="1"/>
  <c r="L71"/>
  <c r="N71" s="1"/>
  <c r="K71"/>
  <c r="M70"/>
  <c r="N70" s="1"/>
  <c r="J67"/>
  <c r="M67" s="1"/>
  <c r="K70"/>
  <c r="I67"/>
  <c r="K67" s="1"/>
  <c r="L68"/>
  <c r="N68" s="1"/>
  <c r="K68"/>
  <c r="L67"/>
  <c r="N67" s="1"/>
  <c r="E67"/>
  <c r="L66"/>
  <c r="N66" s="1"/>
  <c r="K66"/>
  <c r="L65"/>
  <c r="N65" s="1"/>
  <c r="K65"/>
  <c r="L64"/>
  <c r="N64" s="1"/>
  <c r="K64"/>
  <c r="L63"/>
  <c r="N63" s="1"/>
  <c r="E63"/>
  <c r="E62"/>
  <c r="L62"/>
  <c r="N62" s="1"/>
  <c r="E61"/>
  <c r="L61"/>
  <c r="N61" s="1"/>
  <c r="E60"/>
  <c r="L60"/>
  <c r="N60" s="1"/>
  <c r="E59"/>
  <c r="L59"/>
  <c r="N59" s="1"/>
  <c r="L58"/>
  <c r="N58" s="1"/>
  <c r="E58"/>
  <c r="L57"/>
  <c r="N57" s="1"/>
  <c r="E57"/>
  <c r="E56"/>
  <c r="L56"/>
  <c r="N56" s="1"/>
  <c r="M55"/>
  <c r="D46"/>
  <c r="E55"/>
  <c r="L55"/>
  <c r="N55" s="1"/>
  <c r="C46"/>
  <c r="K54"/>
  <c r="I46"/>
  <c r="K46" s="1"/>
  <c r="M54"/>
  <c r="G46"/>
  <c r="L54"/>
  <c r="N54" s="1"/>
  <c r="H54"/>
  <c r="F46"/>
  <c r="H46" s="1"/>
  <c r="L53"/>
  <c r="N53" s="1"/>
  <c r="E53"/>
  <c r="L52"/>
  <c r="N52" s="1"/>
  <c r="E52"/>
  <c r="L51"/>
  <c r="N51" s="1"/>
  <c r="E51"/>
  <c r="L50"/>
  <c r="N50" s="1"/>
  <c r="E50"/>
  <c r="L49"/>
  <c r="N49" s="1"/>
  <c r="K49"/>
  <c r="L48"/>
  <c r="N48" s="1"/>
  <c r="E48"/>
  <c r="L47"/>
  <c r="N47" s="1"/>
  <c r="E47"/>
  <c r="E45"/>
  <c r="L45"/>
  <c r="N45" s="1"/>
  <c r="L44"/>
  <c r="N44" s="1"/>
  <c r="E44"/>
  <c r="L43"/>
  <c r="N43" s="1"/>
  <c r="E43"/>
  <c r="H42"/>
  <c r="L42"/>
  <c r="N42" s="1"/>
  <c r="J36"/>
  <c r="M41"/>
  <c r="I36"/>
  <c r="K36" s="1"/>
  <c r="L41"/>
  <c r="N41" s="1"/>
  <c r="K41"/>
  <c r="F36"/>
  <c r="H36" s="1"/>
  <c r="H40"/>
  <c r="D36"/>
  <c r="M36" s="1"/>
  <c r="M40"/>
  <c r="C36"/>
  <c r="L40"/>
  <c r="N40" s="1"/>
  <c r="E40"/>
  <c r="L38"/>
  <c r="N38" s="1"/>
  <c r="E38"/>
  <c r="L37"/>
  <c r="N37" s="1"/>
  <c r="E37"/>
  <c r="L35"/>
  <c r="N35" s="1"/>
  <c r="E35"/>
  <c r="E34"/>
  <c r="L34"/>
  <c r="N34" s="1"/>
  <c r="E33"/>
  <c r="L33"/>
  <c r="N33" s="1"/>
  <c r="L32"/>
  <c r="N32" s="1"/>
  <c r="E32"/>
  <c r="E31"/>
  <c r="L31"/>
  <c r="N31" s="1"/>
  <c r="E30"/>
  <c r="L30"/>
  <c r="N30" s="1"/>
  <c r="L29"/>
  <c r="N29" s="1"/>
  <c r="E29"/>
  <c r="L28"/>
  <c r="N28" s="1"/>
  <c r="E28"/>
  <c r="E27"/>
  <c r="L27"/>
  <c r="N27" s="1"/>
  <c r="E26"/>
  <c r="L26"/>
  <c r="N26" s="1"/>
  <c r="E25"/>
  <c r="L25"/>
  <c r="N25" s="1"/>
  <c r="E24"/>
  <c r="L24"/>
  <c r="N24" s="1"/>
  <c r="K181" i="30"/>
  <c r="J181"/>
  <c r="I181"/>
  <c r="H181"/>
  <c r="G181"/>
  <c r="F181"/>
  <c r="E181"/>
  <c r="D181"/>
  <c r="C181"/>
  <c r="K180"/>
  <c r="J180"/>
  <c r="I180"/>
  <c r="H180"/>
  <c r="G180"/>
  <c r="F180"/>
  <c r="E180"/>
  <c r="D180"/>
  <c r="C180"/>
  <c r="K179"/>
  <c r="J179"/>
  <c r="I179"/>
  <c r="H179"/>
  <c r="G179"/>
  <c r="F179"/>
  <c r="E179"/>
  <c r="D179"/>
  <c r="C179"/>
  <c r="K178"/>
  <c r="J178"/>
  <c r="I178"/>
  <c r="H178"/>
  <c r="G178"/>
  <c r="F178"/>
  <c r="E178"/>
  <c r="D178"/>
  <c r="C178"/>
  <c r="K177"/>
  <c r="J177"/>
  <c r="I177"/>
  <c r="H177"/>
  <c r="G177"/>
  <c r="F177"/>
  <c r="E177"/>
  <c r="D177"/>
  <c r="C177"/>
  <c r="K176"/>
  <c r="J176"/>
  <c r="I176"/>
  <c r="H176"/>
  <c r="G176"/>
  <c r="F176"/>
  <c r="E176"/>
  <c r="D176"/>
  <c r="C176"/>
  <c r="K175"/>
  <c r="J175"/>
  <c r="I175"/>
  <c r="H175"/>
  <c r="G175"/>
  <c r="F175"/>
  <c r="E175"/>
  <c r="D175"/>
  <c r="C175"/>
  <c r="K174"/>
  <c r="J174"/>
  <c r="I174"/>
  <c r="H174"/>
  <c r="G174"/>
  <c r="F174"/>
  <c r="E174"/>
  <c r="D174"/>
  <c r="C174"/>
  <c r="K173"/>
  <c r="J173"/>
  <c r="I173"/>
  <c r="H173"/>
  <c r="G173"/>
  <c r="F173"/>
  <c r="E173"/>
  <c r="D173"/>
  <c r="C173"/>
  <c r="K172"/>
  <c r="J172"/>
  <c r="I172"/>
  <c r="H172"/>
  <c r="G172"/>
  <c r="F172"/>
  <c r="E172"/>
  <c r="D172"/>
  <c r="C172"/>
  <c r="N171"/>
  <c r="M171"/>
  <c r="L171"/>
  <c r="N170"/>
  <c r="M170"/>
  <c r="L170"/>
  <c r="N169"/>
  <c r="M169"/>
  <c r="L169"/>
  <c r="N168"/>
  <c r="M168"/>
  <c r="L168"/>
  <c r="N167"/>
  <c r="M167"/>
  <c r="L167"/>
  <c r="N166"/>
  <c r="M166"/>
  <c r="L166"/>
  <c r="N165"/>
  <c r="M165"/>
  <c r="L165"/>
  <c r="N164"/>
  <c r="M164"/>
  <c r="L164"/>
  <c r="N163"/>
  <c r="M163"/>
  <c r="L163"/>
  <c r="N162"/>
  <c r="M162"/>
  <c r="L162"/>
  <c r="N161"/>
  <c r="M161"/>
  <c r="L161"/>
  <c r="N160"/>
  <c r="M160"/>
  <c r="L160"/>
  <c r="N159"/>
  <c r="M159"/>
  <c r="L159"/>
  <c r="N158"/>
  <c r="M158"/>
  <c r="L158"/>
  <c r="N157"/>
  <c r="M157"/>
  <c r="L157"/>
  <c r="N156"/>
  <c r="M156"/>
  <c r="L156"/>
  <c r="N155"/>
  <c r="M155"/>
  <c r="L155"/>
  <c r="N154"/>
  <c r="M154"/>
  <c r="L154"/>
  <c r="N153"/>
  <c r="M153"/>
  <c r="L153"/>
  <c r="N152"/>
  <c r="M152"/>
  <c r="L152"/>
  <c r="N151"/>
  <c r="M151"/>
  <c r="L151"/>
  <c r="N150"/>
  <c r="M150"/>
  <c r="L150"/>
  <c r="N149"/>
  <c r="M149"/>
  <c r="L149"/>
  <c r="N148"/>
  <c r="M148"/>
  <c r="L148"/>
  <c r="N147"/>
  <c r="M147"/>
  <c r="L147"/>
  <c r="N146"/>
  <c r="M146"/>
  <c r="L146"/>
  <c r="N145"/>
  <c r="M145"/>
  <c r="L145"/>
  <c r="N144"/>
  <c r="M144"/>
  <c r="L144"/>
  <c r="N143"/>
  <c r="M143"/>
  <c r="L143"/>
  <c r="N142"/>
  <c r="M142"/>
  <c r="L142"/>
  <c r="N141"/>
  <c r="M141"/>
  <c r="L141"/>
  <c r="N140"/>
  <c r="M140"/>
  <c r="L140"/>
  <c r="N139"/>
  <c r="M139"/>
  <c r="L139"/>
  <c r="N138"/>
  <c r="M138"/>
  <c r="L138"/>
  <c r="N137"/>
  <c r="M137"/>
  <c r="L137"/>
  <c r="N136"/>
  <c r="M136"/>
  <c r="L136"/>
  <c r="N135"/>
  <c r="M135"/>
  <c r="L135"/>
  <c r="N134"/>
  <c r="M134"/>
  <c r="L134"/>
  <c r="N133"/>
  <c r="M133"/>
  <c r="L133"/>
  <c r="N132"/>
  <c r="M132"/>
  <c r="L132"/>
  <c r="N131"/>
  <c r="M131"/>
  <c r="L131"/>
  <c r="N130"/>
  <c r="M130"/>
  <c r="L130"/>
  <c r="N129"/>
  <c r="M129"/>
  <c r="L129"/>
  <c r="N128"/>
  <c r="M128"/>
  <c r="L128"/>
  <c r="N127"/>
  <c r="M127"/>
  <c r="L127"/>
  <c r="N126"/>
  <c r="M126"/>
  <c r="L126"/>
  <c r="N125"/>
  <c r="M125"/>
  <c r="L125"/>
  <c r="N124"/>
  <c r="M124"/>
  <c r="L124"/>
  <c r="N123"/>
  <c r="M123"/>
  <c r="L123"/>
  <c r="N122"/>
  <c r="M122"/>
  <c r="L122"/>
  <c r="N121"/>
  <c r="M121"/>
  <c r="L121"/>
  <c r="N120"/>
  <c r="M120"/>
  <c r="L120"/>
  <c r="N119"/>
  <c r="M119"/>
  <c r="L119"/>
  <c r="N118"/>
  <c r="M118"/>
  <c r="L118"/>
  <c r="N117"/>
  <c r="M117"/>
  <c r="L117"/>
  <c r="N116"/>
  <c r="M116"/>
  <c r="L116"/>
  <c r="N115"/>
  <c r="M115"/>
  <c r="L115"/>
  <c r="N114"/>
  <c r="M114"/>
  <c r="L114"/>
  <c r="N113"/>
  <c r="M113"/>
  <c r="L113"/>
  <c r="N112"/>
  <c r="M112"/>
  <c r="L112"/>
  <c r="N111"/>
  <c r="M111"/>
  <c r="L111"/>
  <c r="N110"/>
  <c r="M110"/>
  <c r="L110"/>
  <c r="N109"/>
  <c r="M109"/>
  <c r="L109"/>
  <c r="N108"/>
  <c r="M108"/>
  <c r="L108"/>
  <c r="N107"/>
  <c r="M107"/>
  <c r="L107"/>
  <c r="N106"/>
  <c r="M106"/>
  <c r="L106"/>
  <c r="N105"/>
  <c r="M105"/>
  <c r="L105"/>
  <c r="N104"/>
  <c r="M104"/>
  <c r="L104"/>
  <c r="N103"/>
  <c r="M103"/>
  <c r="L103"/>
  <c r="N102"/>
  <c r="M102"/>
  <c r="L102"/>
  <c r="N101"/>
  <c r="M101"/>
  <c r="L101"/>
  <c r="N100"/>
  <c r="M100"/>
  <c r="L100"/>
  <c r="N99"/>
  <c r="M99"/>
  <c r="L99"/>
  <c r="N98"/>
  <c r="M98"/>
  <c r="L98"/>
  <c r="N97"/>
  <c r="M97"/>
  <c r="L97"/>
  <c r="N96"/>
  <c r="M96"/>
  <c r="L96"/>
  <c r="N95"/>
  <c r="M95"/>
  <c r="L95"/>
  <c r="N94"/>
  <c r="M94"/>
  <c r="L94"/>
  <c r="N93"/>
  <c r="M93"/>
  <c r="L93"/>
  <c r="N92"/>
  <c r="M92"/>
  <c r="L92"/>
  <c r="N91"/>
  <c r="M91"/>
  <c r="L91"/>
  <c r="N90"/>
  <c r="M90"/>
  <c r="L90"/>
  <c r="N89"/>
  <c r="M89"/>
  <c r="L89"/>
  <c r="N88"/>
  <c r="M88"/>
  <c r="L88"/>
  <c r="N87"/>
  <c r="M87"/>
  <c r="L87"/>
  <c r="N86"/>
  <c r="M86"/>
  <c r="L86"/>
  <c r="N85"/>
  <c r="M85"/>
  <c r="L85"/>
  <c r="N84"/>
  <c r="M84"/>
  <c r="L84"/>
  <c r="N83"/>
  <c r="M83"/>
  <c r="L83"/>
  <c r="N82"/>
  <c r="M82"/>
  <c r="L82"/>
  <c r="N81"/>
  <c r="M81"/>
  <c r="L81"/>
  <c r="N80"/>
  <c r="M80"/>
  <c r="L80"/>
  <c r="N79"/>
  <c r="M79"/>
  <c r="L79"/>
  <c r="N78"/>
  <c r="M78"/>
  <c r="L78"/>
  <c r="A78"/>
  <c r="M75"/>
  <c r="L75"/>
  <c r="K75"/>
  <c r="M74"/>
  <c r="L74"/>
  <c r="K74"/>
  <c r="M73"/>
  <c r="L73"/>
  <c r="K73"/>
  <c r="M72"/>
  <c r="L72"/>
  <c r="K72"/>
  <c r="M71"/>
  <c r="L71"/>
  <c r="K71"/>
  <c r="M70"/>
  <c r="L70"/>
  <c r="K70"/>
  <c r="M69"/>
  <c r="L69"/>
  <c r="K69"/>
  <c r="M68"/>
  <c r="L68"/>
  <c r="K68"/>
  <c r="J67"/>
  <c r="I67"/>
  <c r="K67" s="1"/>
  <c r="G67"/>
  <c r="F67"/>
  <c r="D67"/>
  <c r="C67"/>
  <c r="M66"/>
  <c r="L66"/>
  <c r="K66"/>
  <c r="M65"/>
  <c r="L65"/>
  <c r="K65"/>
  <c r="M64"/>
  <c r="L64"/>
  <c r="K64"/>
  <c r="M63"/>
  <c r="L63"/>
  <c r="K63"/>
  <c r="H63"/>
  <c r="E63"/>
  <c r="M62"/>
  <c r="L62"/>
  <c r="K62"/>
  <c r="H62"/>
  <c r="E62"/>
  <c r="M61"/>
  <c r="L61"/>
  <c r="K61"/>
  <c r="H61"/>
  <c r="E61"/>
  <c r="M60"/>
  <c r="L60"/>
  <c r="K60"/>
  <c r="H60"/>
  <c r="E60"/>
  <c r="M59"/>
  <c r="L59"/>
  <c r="K59"/>
  <c r="H59"/>
  <c r="E59"/>
  <c r="M58"/>
  <c r="L58"/>
  <c r="K58"/>
  <c r="H58"/>
  <c r="E58"/>
  <c r="M57"/>
  <c r="L57"/>
  <c r="K57"/>
  <c r="H57"/>
  <c r="E57"/>
  <c r="J56"/>
  <c r="I56"/>
  <c r="G56"/>
  <c r="F56"/>
  <c r="D56"/>
  <c r="C56"/>
  <c r="M55"/>
  <c r="L55"/>
  <c r="K55"/>
  <c r="H55"/>
  <c r="E55"/>
  <c r="M54"/>
  <c r="L54"/>
  <c r="K54"/>
  <c r="H54"/>
  <c r="E54"/>
  <c r="M53"/>
  <c r="L53"/>
  <c r="K53"/>
  <c r="H53"/>
  <c r="E53"/>
  <c r="M52"/>
  <c r="L52"/>
  <c r="K52"/>
  <c r="H52"/>
  <c r="E52"/>
  <c r="M51"/>
  <c r="L51"/>
  <c r="K51"/>
  <c r="H51"/>
  <c r="E51"/>
  <c r="M50"/>
  <c r="L50"/>
  <c r="K50"/>
  <c r="H50"/>
  <c r="E50"/>
  <c r="M49"/>
  <c r="L49"/>
  <c r="K49"/>
  <c r="M48"/>
  <c r="L48"/>
  <c r="K48"/>
  <c r="H48"/>
  <c r="E48"/>
  <c r="M47"/>
  <c r="L47"/>
  <c r="K47"/>
  <c r="H47"/>
  <c r="E47"/>
  <c r="J46"/>
  <c r="I46"/>
  <c r="G46"/>
  <c r="F46"/>
  <c r="D46"/>
  <c r="C46"/>
  <c r="M45"/>
  <c r="L45"/>
  <c r="K45"/>
  <c r="H45"/>
  <c r="E45"/>
  <c r="M44"/>
  <c r="L44"/>
  <c r="K44"/>
  <c r="H44"/>
  <c r="E44"/>
  <c r="M43"/>
  <c r="L43"/>
  <c r="K43"/>
  <c r="H43"/>
  <c r="E43"/>
  <c r="M42"/>
  <c r="L42"/>
  <c r="K42"/>
  <c r="H42"/>
  <c r="E42"/>
  <c r="M41"/>
  <c r="L41"/>
  <c r="K41"/>
  <c r="M40"/>
  <c r="L40"/>
  <c r="K40"/>
  <c r="H40"/>
  <c r="E40"/>
  <c r="M39"/>
  <c r="L39"/>
  <c r="K39"/>
  <c r="H39"/>
  <c r="E39"/>
  <c r="M38"/>
  <c r="L38"/>
  <c r="K38"/>
  <c r="H38"/>
  <c r="E38"/>
  <c r="M37"/>
  <c r="L37"/>
  <c r="K37"/>
  <c r="H37"/>
  <c r="E37"/>
  <c r="J36"/>
  <c r="I36"/>
  <c r="G36"/>
  <c r="F36"/>
  <c r="D36"/>
  <c r="C36"/>
  <c r="M35"/>
  <c r="N35" s="1"/>
  <c r="L35"/>
  <c r="K35"/>
  <c r="H35"/>
  <c r="E35"/>
  <c r="M34"/>
  <c r="L34"/>
  <c r="K34"/>
  <c r="H34"/>
  <c r="E34"/>
  <c r="M33"/>
  <c r="L33"/>
  <c r="K33"/>
  <c r="H33"/>
  <c r="E33"/>
  <c r="M32"/>
  <c r="L32"/>
  <c r="K32"/>
  <c r="H32"/>
  <c r="E32"/>
  <c r="M31"/>
  <c r="L31"/>
  <c r="K31"/>
  <c r="H31"/>
  <c r="E31"/>
  <c r="M30"/>
  <c r="L30"/>
  <c r="K30"/>
  <c r="H30"/>
  <c r="E30"/>
  <c r="M29"/>
  <c r="L29"/>
  <c r="K29"/>
  <c r="H29"/>
  <c r="E29"/>
  <c r="M28"/>
  <c r="L28"/>
  <c r="K28"/>
  <c r="H28"/>
  <c r="E28"/>
  <c r="M27"/>
  <c r="L27"/>
  <c r="K27"/>
  <c r="H27"/>
  <c r="E27"/>
  <c r="M26"/>
  <c r="L26"/>
  <c r="K26"/>
  <c r="H26"/>
  <c r="E26"/>
  <c r="M25"/>
  <c r="L25"/>
  <c r="K25"/>
  <c r="H25"/>
  <c r="E25"/>
  <c r="J24"/>
  <c r="I24"/>
  <c r="G24"/>
  <c r="F24"/>
  <c r="D24"/>
  <c r="C24"/>
  <c r="M23"/>
  <c r="L23"/>
  <c r="K23"/>
  <c r="H23"/>
  <c r="E23"/>
  <c r="Q19"/>
  <c r="P19"/>
  <c r="O19"/>
  <c r="Q18"/>
  <c r="P18"/>
  <c r="O18"/>
  <c r="Q17"/>
  <c r="P17"/>
  <c r="O17"/>
  <c r="Q16"/>
  <c r="P16"/>
  <c r="O16"/>
  <c r="R12"/>
  <c r="P12"/>
  <c r="N12"/>
  <c r="L12"/>
  <c r="J12"/>
  <c r="H12"/>
  <c r="F12"/>
  <c r="D12"/>
  <c r="B12"/>
  <c r="Q11"/>
  <c r="O11"/>
  <c r="K11"/>
  <c r="E11"/>
  <c r="Q10"/>
  <c r="O10"/>
  <c r="K10"/>
  <c r="I12"/>
  <c r="E10"/>
  <c r="C12"/>
  <c r="AW2"/>
  <c r="F182" l="1"/>
  <c r="L175"/>
  <c r="E46" i="31"/>
  <c r="L46"/>
  <c r="E36"/>
  <c r="L36"/>
  <c r="N36" s="1"/>
  <c r="M46"/>
  <c r="N177" i="30"/>
  <c r="N173"/>
  <c r="H67"/>
  <c r="N40"/>
  <c r="G182"/>
  <c r="F183"/>
  <c r="L178"/>
  <c r="N49"/>
  <c r="E56"/>
  <c r="N41"/>
  <c r="N180"/>
  <c r="M181"/>
  <c r="N53"/>
  <c r="C182"/>
  <c r="K182"/>
  <c r="J183"/>
  <c r="N178"/>
  <c r="M179"/>
  <c r="M180"/>
  <c r="N60"/>
  <c r="E67"/>
  <c r="L180"/>
  <c r="H24"/>
  <c r="K46"/>
  <c r="M172"/>
  <c r="M176"/>
  <c r="J182"/>
  <c r="M178"/>
  <c r="K56"/>
  <c r="N58"/>
  <c r="N62"/>
  <c r="N48"/>
  <c r="N51"/>
  <c r="N55"/>
  <c r="M46"/>
  <c r="N43"/>
  <c r="N45"/>
  <c r="M36"/>
  <c r="E36"/>
  <c r="N38"/>
  <c r="N25"/>
  <c r="N29"/>
  <c r="M24"/>
  <c r="E24"/>
  <c r="N27"/>
  <c r="N31"/>
  <c r="N33"/>
  <c r="K12"/>
  <c r="K36"/>
  <c r="N44"/>
  <c r="L46"/>
  <c r="N63"/>
  <c r="M67"/>
  <c r="L173"/>
  <c r="M174"/>
  <c r="L177"/>
  <c r="C183"/>
  <c r="G183"/>
  <c r="K183"/>
  <c r="N181"/>
  <c r="L181"/>
  <c r="O12"/>
  <c r="N23"/>
  <c r="L24"/>
  <c r="N50"/>
  <c r="L172"/>
  <c r="M173"/>
  <c r="N172"/>
  <c r="N174"/>
  <c r="L174"/>
  <c r="M175"/>
  <c r="L176"/>
  <c r="M177"/>
  <c r="N176"/>
  <c r="E182"/>
  <c r="I182"/>
  <c r="N179"/>
  <c r="L179"/>
  <c r="N30"/>
  <c r="M56"/>
  <c r="N71"/>
  <c r="N75"/>
  <c r="L67"/>
  <c r="Q12"/>
  <c r="K24"/>
  <c r="N26"/>
  <c r="N34"/>
  <c r="L36"/>
  <c r="N39"/>
  <c r="E46"/>
  <c r="N54"/>
  <c r="L56"/>
  <c r="N59"/>
  <c r="N65"/>
  <c r="N69"/>
  <c r="N73"/>
  <c r="N175"/>
  <c r="D182"/>
  <c r="H182"/>
  <c r="D183"/>
  <c r="H183"/>
  <c r="N32"/>
  <c r="N37"/>
  <c r="H46"/>
  <c r="N52"/>
  <c r="N57"/>
  <c r="N64"/>
  <c r="N68"/>
  <c r="N72"/>
  <c r="E183"/>
  <c r="I183"/>
  <c r="E12"/>
  <c r="N28"/>
  <c r="H36"/>
  <c r="N42"/>
  <c r="N47"/>
  <c r="H56"/>
  <c r="N61"/>
  <c r="N66"/>
  <c r="N70"/>
  <c r="N74"/>
  <c r="L182" l="1"/>
  <c r="N24"/>
  <c r="N56"/>
  <c r="N36"/>
  <c r="N46" i="31"/>
  <c r="N67" i="30"/>
  <c r="N182"/>
  <c r="N46"/>
  <c r="L183"/>
  <c r="M12"/>
  <c r="N183"/>
  <c r="M183"/>
  <c r="M182"/>
  <c r="S12" l="1"/>
  <c r="G12"/>
  <c r="AW2" i="2" l="1"/>
  <c r="H31"/>
  <c r="H32"/>
  <c r="H33"/>
  <c r="H34"/>
  <c r="H35"/>
  <c r="H36"/>
  <c r="H37"/>
  <c r="H38"/>
  <c r="H39"/>
  <c r="H40"/>
  <c r="H41"/>
  <c r="H42"/>
  <c r="H43"/>
  <c r="H44"/>
  <c r="H45"/>
  <c r="H46"/>
  <c r="H47"/>
  <c r="H26"/>
  <c r="H25"/>
  <c r="H24"/>
  <c r="H23"/>
  <c r="H22"/>
  <c r="H21"/>
  <c r="H20"/>
  <c r="H19"/>
  <c r="H18"/>
  <c r="H15"/>
  <c r="H14"/>
  <c r="H13"/>
  <c r="H11"/>
  <c r="H12"/>
  <c r="H30"/>
  <c r="G17"/>
  <c r="F17"/>
  <c r="H17" l="1"/>
</calcChain>
</file>

<file path=xl/sharedStrings.xml><?xml version="1.0" encoding="utf-8"?>
<sst xmlns="http://schemas.openxmlformats.org/spreadsheetml/2006/main" count="5537" uniqueCount="1162">
  <si>
    <t>Ministry of Health &amp; Family Welfare</t>
  </si>
  <si>
    <t>Government of India</t>
  </si>
  <si>
    <t>Rashtriya Bal Swasthya Karyakram (RBSK)</t>
  </si>
  <si>
    <t>Reporting Month</t>
  </si>
  <si>
    <t>6-18 years enrolled in Govt and Govt aided schools (MHT)</t>
  </si>
  <si>
    <r>
      <t xml:space="preserve">No. of children screened in current </t>
    </r>
    <r>
      <rPr>
        <u/>
        <sz val="10"/>
        <color rgb="FF000000"/>
        <rFont val="Arial"/>
        <family val="2"/>
      </rPr>
      <t>month</t>
    </r>
    <r>
      <rPr>
        <sz val="10"/>
        <color rgb="FF000000"/>
        <rFont val="Arial"/>
        <family val="2"/>
      </rPr>
      <t xml:space="preserve"> /Yearby M.H.T.</t>
    </r>
  </si>
  <si>
    <r>
      <t xml:space="preserve">No. of children screened </t>
    </r>
    <r>
      <rPr>
        <u/>
        <sz val="10"/>
        <color rgb="FF000000"/>
        <rFont val="Arial"/>
        <family val="2"/>
      </rPr>
      <t>cumulative</t>
    </r>
    <r>
      <rPr>
        <sz val="10"/>
        <color rgb="FF000000"/>
        <rFont val="Arial"/>
        <family val="2"/>
      </rPr>
      <t xml:space="preserve"> till current month</t>
    </r>
  </si>
  <si>
    <t>Percentage of total children screened till this month (Cumulative)</t>
  </si>
  <si>
    <t>Found positive for selected health conditions in current month/year</t>
  </si>
  <si>
    <t xml:space="preserve">Referred for this current month/year </t>
  </si>
  <si>
    <t xml:space="preserve"> Target :                          Total children to be screened in complete year by M.H.T.</t>
  </si>
  <si>
    <t>No. of children screened in current month/year by M.H.T.</t>
  </si>
  <si>
    <t>No. of children screened cumulative till current month</t>
  </si>
  <si>
    <t>Found positive for selected health conditions in current month</t>
  </si>
  <si>
    <t>Delivery points</t>
  </si>
  <si>
    <t>Male</t>
  </si>
  <si>
    <t>Female</t>
  </si>
  <si>
    <t>Total</t>
  </si>
  <si>
    <t>Doctors</t>
  </si>
  <si>
    <t>Pharmacist</t>
  </si>
  <si>
    <t>ANM/ Staff nurse</t>
  </si>
  <si>
    <t xml:space="preserve">Approved </t>
  </si>
  <si>
    <t>Visit 1</t>
  </si>
  <si>
    <t>In-place</t>
  </si>
  <si>
    <t>Visit 2</t>
  </si>
  <si>
    <t>Trained</t>
  </si>
  <si>
    <t>Govt and Govt aided schools</t>
  </si>
  <si>
    <t>Birth-6 weeks</t>
  </si>
  <si>
    <t xml:space="preserve">Male </t>
  </si>
  <si>
    <t>Sl No</t>
  </si>
  <si>
    <t>Defects at Birth: Total</t>
  </si>
  <si>
    <t>Neural tube defect</t>
  </si>
  <si>
    <t>Down’s Syndrome</t>
  </si>
  <si>
    <t xml:space="preserve">Cleft Lip &amp; Palate </t>
  </si>
  <si>
    <t>Club foot</t>
  </si>
  <si>
    <t>Developmental dysplasia of the hip</t>
  </si>
  <si>
    <t>Congenital cataract</t>
  </si>
  <si>
    <t>Congenital deafness</t>
  </si>
  <si>
    <t>Congenital heart diseases</t>
  </si>
  <si>
    <t>Retinopathy of Prematurity</t>
  </si>
  <si>
    <t>Deficiencies:Total</t>
  </si>
  <si>
    <t>Severe Anaemia</t>
  </si>
  <si>
    <t>Vitamin A deficiency (Bitot spot)</t>
  </si>
  <si>
    <t>Vitamin D Deficiency, (Rickets)</t>
  </si>
  <si>
    <t xml:space="preserve">A) SAM </t>
  </si>
  <si>
    <t>B) Severe Thinning</t>
  </si>
  <si>
    <t>C) Obesity</t>
  </si>
  <si>
    <t xml:space="preserve">Goitre </t>
  </si>
  <si>
    <t>Childhood Diseases:Total</t>
  </si>
  <si>
    <t>Skin conditions</t>
  </si>
  <si>
    <t>Otitis Media</t>
  </si>
  <si>
    <t xml:space="preserve">Rheumatic heart disease </t>
  </si>
  <si>
    <t>Reactive airway disease</t>
  </si>
  <si>
    <t xml:space="preserve">Dental Conditions </t>
  </si>
  <si>
    <t>Convulsive disorders</t>
  </si>
  <si>
    <t>Vision impairment</t>
  </si>
  <si>
    <t>Hearing Impairment</t>
  </si>
  <si>
    <t>Neuro motor impairment</t>
  </si>
  <si>
    <t xml:space="preserve">Motor delay </t>
  </si>
  <si>
    <t>Cognitive delay</t>
  </si>
  <si>
    <t>Language  delay</t>
  </si>
  <si>
    <t>Behaviour disorder (Autism)</t>
  </si>
  <si>
    <t>Learning disorder</t>
  </si>
  <si>
    <t xml:space="preserve">Attention deficit hyperactivity disorder </t>
  </si>
  <si>
    <t>Others</t>
  </si>
  <si>
    <t>Adolescent Health:Total</t>
  </si>
  <si>
    <t>Growing up concerns</t>
  </si>
  <si>
    <t>Substance abuse</t>
  </si>
  <si>
    <t>Feel depressed</t>
  </si>
  <si>
    <t>Delay in menstruation cycles</t>
  </si>
  <si>
    <t>Irregular periods</t>
  </si>
  <si>
    <t>Pain or burning sensation while urinating</t>
  </si>
  <si>
    <t>Discharge/ foul smelling discharge from the genitor-urinary area</t>
  </si>
  <si>
    <t>Pain during menstruation</t>
  </si>
  <si>
    <t xml:space="preserve">Report prepared by </t>
  </si>
  <si>
    <t xml:space="preserve">Report verified by </t>
  </si>
  <si>
    <t>Block/ District / State Nodal person</t>
  </si>
  <si>
    <t xml:space="preserve">Signature </t>
  </si>
  <si>
    <t>Designation</t>
  </si>
  <si>
    <t>Date</t>
  </si>
  <si>
    <t>Name of State:</t>
  </si>
  <si>
    <t>Name of Block</t>
  </si>
  <si>
    <t>Reporting Year</t>
  </si>
  <si>
    <r>
      <t xml:space="preserve"> Target : Total children to be screened in complete </t>
    </r>
    <r>
      <rPr>
        <u/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by M.H.T.</t>
    </r>
  </si>
  <si>
    <t>MONTHLY REPORTING FORMAT (Delivery Point) - FORM No - I</t>
  </si>
  <si>
    <t>Health Condition</t>
  </si>
  <si>
    <t>MONTHLY REPORTING FORMAT (MHT) - FORM No - III</t>
  </si>
  <si>
    <t>Cumulative number of Children born in the facility  in the year   ________ From ________  To (reporting month)_____________</t>
  </si>
  <si>
    <t>Number of deliveries in the facility in the reporting month</t>
  </si>
  <si>
    <t>6 weeks to 3 years</t>
  </si>
  <si>
    <t>6 weeks to 3 years (MHT)</t>
  </si>
  <si>
    <t>3-6 years enrolled in Govt and Govt aided schools (MHT)</t>
  </si>
  <si>
    <t xml:space="preserve">Total </t>
  </si>
  <si>
    <t>ANM/SN</t>
  </si>
  <si>
    <t>Developmental dysplasia 
of the hip</t>
  </si>
  <si>
    <t>Congenital Deafness</t>
  </si>
  <si>
    <t>Discharge/ foul smelling discharge from the 
genitor-urinary area</t>
  </si>
  <si>
    <t>Defect at Birth</t>
  </si>
  <si>
    <t>Childhood Diseases</t>
  </si>
  <si>
    <t>Developmental Delays including Disabilities</t>
  </si>
  <si>
    <t>Adolescent Health</t>
  </si>
  <si>
    <t xml:space="preserve"> State:</t>
  </si>
  <si>
    <t>Primary care (PHC/CHC)</t>
  </si>
  <si>
    <t>MHT Details</t>
  </si>
  <si>
    <t xml:space="preserve">Total Number of MHT </t>
  </si>
  <si>
    <t>3  years to 6 years</t>
  </si>
  <si>
    <t>6  years to 18 years</t>
  </si>
  <si>
    <r>
      <t xml:space="preserve"> Annual plan :                                            Total visit to be planned in this</t>
    </r>
    <r>
      <rPr>
        <u/>
        <sz val="10"/>
        <color indexed="8"/>
        <rFont val="Arial"/>
        <family val="2"/>
      </rPr>
      <t xml:space="preserve"> year</t>
    </r>
  </si>
  <si>
    <r>
      <t xml:space="preserve">Total AWC/School  visit planned in this </t>
    </r>
    <r>
      <rPr>
        <u/>
        <sz val="10"/>
        <color indexed="8"/>
        <rFont val="Arial"/>
        <family val="2"/>
      </rPr>
      <t>month</t>
    </r>
    <r>
      <rPr>
        <sz val="10"/>
        <color indexed="8"/>
        <rFont val="Arial"/>
        <family val="2"/>
      </rPr>
      <t xml:space="preserve"> by Mobile Health Teams</t>
    </r>
  </si>
  <si>
    <r>
      <t xml:space="preserve">Total AWC/School visit conducted this </t>
    </r>
    <r>
      <rPr>
        <u/>
        <sz val="10"/>
        <color indexed="8"/>
        <rFont val="Arial"/>
        <family val="2"/>
      </rPr>
      <t>month</t>
    </r>
    <r>
      <rPr>
        <sz val="10"/>
        <color indexed="8"/>
        <rFont val="Arial"/>
        <family val="2"/>
      </rPr>
      <t xml:space="preserve"> by Mobile Health Teams</t>
    </r>
  </si>
  <si>
    <r>
      <rPr>
        <u/>
        <sz val="10"/>
        <color indexed="8"/>
        <rFont val="Arial"/>
        <family val="2"/>
      </rPr>
      <t>Cumulative gap</t>
    </r>
    <r>
      <rPr>
        <sz val="10"/>
        <color indexed="8"/>
        <rFont val="Arial"/>
        <family val="2"/>
      </rPr>
      <t xml:space="preserve"> including carry forward from previous month of the current year</t>
    </r>
  </si>
  <si>
    <t>Screening details at AWCs</t>
  </si>
  <si>
    <t>Screened Children with Health Condition</t>
  </si>
  <si>
    <t>AWCs</t>
  </si>
  <si>
    <t>District</t>
  </si>
  <si>
    <t xml:space="preserve">Total Number of  Children Screened </t>
  </si>
  <si>
    <t xml:space="preserve">Total Children Refered </t>
  </si>
  <si>
    <t>Vitamin A deficiency 
(Bitot spot)</t>
  </si>
  <si>
    <t>Vitamin D Deficiency, 
(Rickets)</t>
  </si>
  <si>
    <t>A)SAM</t>
  </si>
  <si>
    <t>B)Severe Thinning</t>
  </si>
  <si>
    <t>C)Obesity</t>
  </si>
  <si>
    <t>Ottis Media</t>
  </si>
  <si>
    <t xml:space="preserve">Rheumatic Heart Disease </t>
  </si>
  <si>
    <t>Reactive Airway Disease</t>
  </si>
  <si>
    <t>Convulsive Disorders</t>
  </si>
  <si>
    <t>Behaviour disorder
 (Autism)</t>
  </si>
  <si>
    <t>Defects at Birth</t>
  </si>
  <si>
    <t>Deficiencies</t>
  </si>
  <si>
    <t xml:space="preserve">Developmental Delays </t>
  </si>
  <si>
    <t>Grand Total</t>
  </si>
  <si>
    <t>Remarks by MHT Team</t>
  </si>
  <si>
    <t xml:space="preserve">Composition of Mobile Health Team </t>
  </si>
  <si>
    <t>Functional</t>
  </si>
  <si>
    <t>Name of District:</t>
  </si>
  <si>
    <t>Defect at Birth:</t>
  </si>
  <si>
    <t>Developmental Delays
 including Disabilities:Total</t>
  </si>
  <si>
    <t>Name of the Nodal Person</t>
  </si>
  <si>
    <t>NAME</t>
  </si>
  <si>
    <t>Secondary Care 
(DH/SDH/SNCU)</t>
  </si>
  <si>
    <t>Tertiary Care (DEIC)/MC</t>
  </si>
  <si>
    <t>Secondary Care 
(DH/SDH/
SNCU)</t>
  </si>
  <si>
    <t>Total Number of  Children Refered at</t>
  </si>
  <si>
    <t xml:space="preserve">Cumulative number of newborn screened  in the year   ________ From ________  
To (reporting month)_____________ </t>
  </si>
  <si>
    <t>MHT Team Code</t>
  </si>
  <si>
    <t>Refer Children for Health Conditions at facility</t>
  </si>
  <si>
    <t>Total Children Refered with Heatlth Conditions</t>
  </si>
  <si>
    <t xml:space="preserve">Number of Children screened  in 
……………………………….
(Reporting Month)   </t>
  </si>
  <si>
    <t>State</t>
  </si>
  <si>
    <t>A &amp; N Islands</t>
  </si>
  <si>
    <t>Nicobar</t>
  </si>
  <si>
    <t>North and Middle Andaman</t>
  </si>
  <si>
    <t>South Andaman</t>
  </si>
  <si>
    <t>Andhra Pradesh</t>
  </si>
  <si>
    <t>Ananthapur</t>
  </si>
  <si>
    <t>Chittoor</t>
  </si>
  <si>
    <t xml:space="preserve">Cuddapah (Kadapa) 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</si>
  <si>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</si>
  <si>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</si>
  <si>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</si>
  <si>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</si>
  <si>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</si>
  <si>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</si>
  <si>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</si>
  <si>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</si>
  <si>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</si>
  <si>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</si>
  <si>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</si>
  <si>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</si>
  <si>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</si>
  <si>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</si>
  <si>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</si>
  <si>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</si>
  <si>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</si>
  <si>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</si>
  <si>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</si>
  <si>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</si>
  <si>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</si>
  <si>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</si>
  <si>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</si>
  <si>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</si>
  <si>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</si>
  <si>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</si>
  <si>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</si>
  <si>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</si>
  <si>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</si>
  <si>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</si>
  <si>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</si>
  <si>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</si>
  <si>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</si>
  <si>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</si>
  <si>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</si>
  <si>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</si>
  <si>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</si>
  <si>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</si>
  <si>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</si>
  <si>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</si>
  <si>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</si>
  <si>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</si>
  <si>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</si>
  <si>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</si>
  <si>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</si>
  <si>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</si>
  <si>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</si>
  <si>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</si>
  <si>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</si>
  <si>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 M</t>
  </si>
  <si>
    <t>Kamrup R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</si>
  <si>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</si>
  <si>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</si>
  <si>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</si>
  <si>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</si>
  <si>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</si>
  <si>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</si>
  <si>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</si>
  <si>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</si>
  <si>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North Cachar Hills</t>
  </si>
  <si>
    <t>Sivsagar</t>
  </si>
  <si>
    <t>Sonitpur</t>
  </si>
  <si>
    <t>South Salamara-Mankachar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</si>
  <si>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</si>
  <si>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</si>
  <si>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</si>
  <si>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</si>
  <si>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</si>
  <si>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</si>
  <si>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</si>
  <si>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</si>
  <si>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</si>
  <si>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</si>
  <si>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</si>
  <si>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</si>
  <si>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</si>
  <si>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</si>
  <si>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</si>
  <si>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</si>
  <si>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</si>
  <si>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</si>
  <si>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</si>
  <si>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</si>
  <si>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</si>
  <si>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</si>
  <si>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</si>
  <si>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</si>
  <si>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</si>
  <si>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</si>
  <si>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</si>
  <si>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</si>
  <si>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</si>
  <si>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</si>
  <si>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</si>
  <si>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</si>
  <si>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</si>
  <si>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</si>
  <si>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</si>
  <si>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</si>
  <si>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</si>
  <si>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</si>
  <si>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</si>
  <si>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</si>
  <si>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</si>
  <si>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</si>
  <si>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</si>
  <si>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</si>
  <si>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</si>
  <si>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</si>
  <si>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</si>
  <si>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</si>
  <si>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Bemetra</t>
  </si>
  <si>
    <t>Bijapur</t>
  </si>
  <si>
    <t xml:space="preserve">Bilaspur  </t>
  </si>
  <si>
    <t>Dantewada</t>
  </si>
  <si>
    <t>Dhamtari</t>
  </si>
  <si>
    <t>Durg</t>
  </si>
  <si>
    <t>Gariyaband</t>
  </si>
  <si>
    <t>Janjgir Champa</t>
  </si>
  <si>
    <t>Jashpur</t>
  </si>
  <si>
    <t>Kanker</t>
  </si>
  <si>
    <t>Kabirdham (Kawardha)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</si>
  <si>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</si>
  <si>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</si>
  <si>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</si>
  <si>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</si>
  <si>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</si>
  <si>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</si>
  <si>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</si>
  <si>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</si>
  <si>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</si>
  <si>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</si>
  <si>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</si>
  <si>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</si>
  <si>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&amp; Nagar Haveli</t>
  </si>
  <si>
    <t>Dadra and Nagar Haveli</t>
  </si>
  <si>
    <t>Daman &amp; Diu</t>
  </si>
  <si>
    <t>Daman</t>
  </si>
  <si>
    <t>Diu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</si>
  <si>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</si>
  <si>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</si>
  <si>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</si>
  <si>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</si>
  <si>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</si>
  <si>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</si>
  <si>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</si>
  <si>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</si>
  <si>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</si>
  <si>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</si>
  <si>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</si>
  <si>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</si>
  <si>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</si>
  <si>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</si>
  <si>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South Goa</t>
  </si>
  <si>
    <t>Gujarat</t>
  </si>
  <si>
    <t>Ahmedabad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</si>
  <si>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</si>
  <si>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</si>
  <si>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</si>
  <si>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</si>
  <si>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</si>
  <si>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</si>
  <si>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</si>
  <si>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</si>
  <si>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</si>
  <si>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</si>
  <si>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</si>
  <si>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</si>
  <si>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</si>
  <si>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</si>
  <si>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</si>
  <si>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</si>
  <si>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</si>
  <si>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</si>
  <si>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</si>
  <si>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</si>
  <si>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</si>
  <si>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</si>
  <si>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</si>
  <si>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</si>
  <si>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</si>
  <si>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</si>
  <si>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</si>
  <si>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</si>
  <si>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</si>
  <si>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</si>
  <si>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</si>
  <si>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</si>
  <si>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</si>
  <si>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</si>
  <si>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</si>
  <si>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</si>
  <si>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</si>
  <si>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</si>
  <si>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</si>
  <si>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</si>
  <si>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</si>
  <si>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</si>
  <si>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</si>
  <si>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</si>
  <si>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</si>
  <si>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</si>
  <si>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</si>
  <si>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</si>
  <si>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</si>
  <si>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</si>
  <si>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</si>
  <si>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</si>
  <si>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</si>
  <si>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</si>
  <si>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</si>
  <si>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</si>
  <si>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Bilaspur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</si>
  <si>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</si>
  <si>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</si>
  <si>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</si>
  <si>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</si>
  <si>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</si>
  <si>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</si>
  <si>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</si>
  <si>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</si>
  <si>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</si>
  <si>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</si>
  <si>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</si>
  <si>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Jammu &amp; Kashmir</t>
  </si>
  <si>
    <t>Anantnag</t>
  </si>
  <si>
    <t>Badgam</t>
  </si>
  <si>
    <t>Bandipora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</si>
  <si>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</si>
  <si>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</si>
  <si>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</si>
  <si>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</si>
  <si>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</si>
  <si>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</si>
  <si>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</si>
  <si>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</si>
  <si>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</si>
  <si>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Ladakh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</si>
  <si>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</si>
  <si>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</si>
  <si>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</si>
  <si>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</si>
  <si>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</si>
  <si>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</si>
  <si>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</si>
  <si>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</si>
  <si>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</si>
  <si>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</si>
  <si>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</si>
  <si>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</si>
  <si>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</si>
  <si>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</si>
  <si>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</si>
  <si>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</si>
  <si>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</si>
  <si>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</si>
  <si>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</si>
  <si>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</si>
  <si>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</si>
  <si>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</si>
  <si>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</si>
  <si>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</si>
  <si>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</si>
  <si>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Pakaur</t>
  </si>
  <si>
    <t>Palamu</t>
  </si>
  <si>
    <t>Pashchimi Singhbhum</t>
  </si>
  <si>
    <t>Purbi Singhbhum</t>
  </si>
  <si>
    <t>Ramgarh</t>
  </si>
  <si>
    <t>Ranchi</t>
  </si>
  <si>
    <t>Sahibganj</t>
  </si>
  <si>
    <t>Saraikela</t>
  </si>
  <si>
    <t>Simdega</t>
  </si>
  <si>
    <t>Karnataka</t>
  </si>
  <si>
    <t>Bagalkote</t>
  </si>
  <si>
    <t>Bangalore Rural</t>
  </si>
  <si>
    <t>Bangalore Urban</t>
  </si>
  <si>
    <t>Belgaum</t>
  </si>
  <si>
    <t>Bellary</t>
  </si>
  <si>
    <t>Bidar</t>
  </si>
  <si>
    <t>Chamrajnagar</t>
  </si>
  <si>
    <t>Chikkaballapur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</si>
  <si>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</si>
  <si>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</si>
  <si>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</si>
  <si>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</si>
  <si>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</si>
  <si>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</si>
  <si>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</si>
  <si>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</si>
  <si>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</si>
  <si>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</si>
  <si>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</si>
  <si>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</si>
  <si>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</si>
  <si>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</si>
  <si>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</si>
  <si>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</si>
  <si>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</si>
  <si>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</si>
  <si>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</si>
  <si>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</si>
  <si>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</si>
  <si>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</si>
  <si>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</si>
  <si>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</si>
  <si>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</si>
  <si>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</si>
  <si>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</si>
  <si>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</si>
  <si>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</si>
  <si>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</si>
  <si>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Mallappuram</t>
  </si>
  <si>
    <t>Palakkad</t>
  </si>
  <si>
    <t>Pathanamthitta</t>
  </si>
  <si>
    <t>Thiruvananthapuram</t>
  </si>
  <si>
    <t>Thrissur</t>
  </si>
  <si>
    <t>Wayanad</t>
  </si>
  <si>
    <t>Lakshadweep</t>
  </si>
  <si>
    <t>Madhya Pradesh</t>
  </si>
  <si>
    <t xml:space="preserve">Agarmalwa </t>
  </si>
  <si>
    <t xml:space="preserve">Alirajpur </t>
  </si>
  <si>
    <t xml:space="preserve">Anuppur </t>
  </si>
  <si>
    <t xml:space="preserve">Ashoknagar </t>
  </si>
  <si>
    <t xml:space="preserve">Balaghat </t>
  </si>
  <si>
    <t xml:space="preserve">Barwani </t>
  </si>
  <si>
    <t xml:space="preserve">Betul </t>
  </si>
  <si>
    <t>Bhind</t>
  </si>
  <si>
    <t>Bhopal</t>
  </si>
  <si>
    <t xml:space="preserve">Burhanpur </t>
  </si>
  <si>
    <t xml:space="preserve">Chhatarpur </t>
  </si>
  <si>
    <t xml:space="preserve">Chhindwara </t>
  </si>
  <si>
    <t>Damoh</t>
  </si>
  <si>
    <t>Datia</t>
  </si>
  <si>
    <t>Dewas</t>
  </si>
  <si>
    <t xml:space="preserve">Dhar </t>
  </si>
  <si>
    <t xml:space="preserve">Dindori </t>
  </si>
  <si>
    <t xml:space="preserve">Guna </t>
  </si>
  <si>
    <t>Gwalior</t>
  </si>
  <si>
    <t>Harda</t>
  </si>
  <si>
    <t>Hoshangabad</t>
  </si>
  <si>
    <t xml:space="preserve">Indore </t>
  </si>
  <si>
    <t>Jabalpur</t>
  </si>
  <si>
    <t xml:space="preserve">Jhabua </t>
  </si>
  <si>
    <t xml:space="preserve">Katni </t>
  </si>
  <si>
    <t xml:space="preserve">Khandwa </t>
  </si>
  <si>
    <t xml:space="preserve">Khargone </t>
  </si>
  <si>
    <t>Mandla</t>
  </si>
  <si>
    <t xml:space="preserve">Mandsaur </t>
  </si>
  <si>
    <t xml:space="preserve">Morena </t>
  </si>
  <si>
    <t xml:space="preserve">Narsinghpur </t>
  </si>
  <si>
    <t xml:space="preserve">Neemuch </t>
  </si>
  <si>
    <t>Panna</t>
  </si>
  <si>
    <t xml:space="preserve">Raisen </t>
  </si>
  <si>
    <t xml:space="preserve">Rajgarh </t>
  </si>
  <si>
    <t xml:space="preserve">Ratlam </t>
  </si>
  <si>
    <t>Rewa</t>
  </si>
  <si>
    <t xml:space="preserve">Sagar </t>
  </si>
  <si>
    <t xml:space="preserve">Satna </t>
  </si>
  <si>
    <t xml:space="preserve">Sehore </t>
  </si>
  <si>
    <t>Seoni</t>
  </si>
  <si>
    <t>Shahdol</t>
  </si>
  <si>
    <t xml:space="preserve">Shajapur </t>
  </si>
  <si>
    <t>Sheopur</t>
  </si>
  <si>
    <t>Shivpuri</t>
  </si>
  <si>
    <t>Sidhi</t>
  </si>
  <si>
    <t xml:space="preserve">Singrouli </t>
  </si>
  <si>
    <t>Tikamgarh</t>
  </si>
  <si>
    <t>Ujjain</t>
  </si>
  <si>
    <t>Umaira</t>
  </si>
  <si>
    <t xml:space="preserve">Vidisha </t>
  </si>
  <si>
    <t>Maharashtra</t>
  </si>
  <si>
    <t>Ahmednagar</t>
  </si>
  <si>
    <t>Akola</t>
  </si>
  <si>
    <t>Amravati</t>
  </si>
  <si>
    <t>Bhandara</t>
  </si>
  <si>
    <t>Bid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</si>
  <si>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</si>
  <si>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</si>
  <si>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</si>
  <si>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</si>
  <si>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</si>
  <si>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</si>
  <si>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</si>
  <si>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</si>
  <si>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</si>
  <si>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</si>
  <si>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</si>
  <si>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</si>
  <si>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</si>
  <si>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</si>
  <si>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</si>
  <si>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</si>
  <si>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</si>
  <si>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</si>
  <si>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</si>
  <si>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</si>
  <si>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</si>
  <si>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</si>
  <si>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</si>
  <si>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</si>
  <si>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</si>
  <si>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</si>
  <si>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</si>
  <si>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</si>
  <si>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</si>
  <si>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</si>
  <si>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</si>
  <si>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</si>
  <si>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</si>
  <si>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</si>
  <si>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</si>
  <si>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</si>
  <si>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</si>
  <si>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</si>
  <si>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</si>
  <si>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</si>
  <si>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</si>
  <si>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</si>
  <si>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</si>
  <si>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</si>
  <si>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</si>
  <si>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</si>
  <si>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</si>
  <si>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</si>
  <si>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</si>
  <si>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</si>
  <si>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</si>
  <si>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</si>
  <si>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</si>
  <si>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</si>
  <si>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</si>
  <si>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</si>
  <si>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</si>
  <si>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</si>
  <si>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</si>
  <si>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 xml:space="preserve">Aizawl 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</si>
  <si>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</si>
  <si>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</si>
  <si>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</si>
  <si>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</si>
  <si>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</si>
  <si>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</si>
  <si>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</si>
  <si>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</si>
  <si>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</si>
  <si>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</si>
  <si>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</si>
  <si>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</si>
  <si>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</si>
  <si>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</si>
  <si>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</si>
  <si>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</si>
  <si>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</si>
  <si>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</si>
  <si>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</si>
  <si>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</si>
  <si>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</si>
  <si>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Balangir</t>
  </si>
  <si>
    <t>Balasore</t>
  </si>
  <si>
    <t>Bargarh</t>
  </si>
  <si>
    <t>Boudh</t>
  </si>
  <si>
    <t>Bhadrak</t>
  </si>
  <si>
    <t>Cuttack</t>
  </si>
  <si>
    <t>Deogarh</t>
  </si>
  <si>
    <t>Dhenkanal</t>
  </si>
  <si>
    <t>Gajapati</t>
  </si>
  <si>
    <t>Ganjam</t>
  </si>
  <si>
    <t>Jagatsinghpur</t>
  </si>
  <si>
    <t>Jajapur</t>
  </si>
  <si>
    <t>Jharsuguda</t>
  </si>
  <si>
    <t>Kalahandi</t>
  </si>
  <si>
    <t>Kandhamal</t>
  </si>
  <si>
    <t>Kendrapara</t>
  </si>
  <si>
    <t>Keonjhar</t>
  </si>
  <si>
    <t xml:space="preserve">Khordha (Khurda) 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</si>
  <si>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</si>
  <si>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</si>
  <si>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</si>
  <si>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</si>
  <si>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</si>
  <si>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</si>
  <si>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</si>
  <si>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</si>
  <si>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</si>
  <si>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</si>
  <si>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</si>
  <si>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</si>
  <si>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</si>
  <si>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</si>
  <si>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</si>
  <si>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</si>
  <si>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</si>
  <si>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</si>
  <si>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</si>
  <si>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</si>
  <si>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</si>
  <si>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</si>
  <si>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</si>
  <si>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</si>
  <si>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</si>
  <si>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</si>
  <si>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</si>
  <si>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</si>
  <si>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</si>
  <si>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</si>
  <si>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</si>
  <si>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 SAS Nagar</t>
  </si>
  <si>
    <t>Muktsar</t>
  </si>
  <si>
    <t>Nawanshahr (SBS Nagar)</t>
  </si>
  <si>
    <t>Pathankot</t>
  </si>
  <si>
    <t>Patiala</t>
  </si>
  <si>
    <t xml:space="preserve">Ropar nagar 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</si>
  <si>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</si>
  <si>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</si>
  <si>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</si>
  <si>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</si>
  <si>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</si>
  <si>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</si>
  <si>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</si>
  <si>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</si>
  <si>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</si>
  <si>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</si>
  <si>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</si>
  <si>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</si>
  <si>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</si>
  <si>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</si>
  <si>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</si>
  <si>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</si>
  <si>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</si>
  <si>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</si>
  <si>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</si>
  <si>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</si>
  <si>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</si>
  <si>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</si>
  <si>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</si>
  <si>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</si>
  <si>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</si>
  <si>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</si>
  <si>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</si>
  <si>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</si>
  <si>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</si>
  <si>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</si>
  <si>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</si>
  <si>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</si>
  <si>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</si>
  <si>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</si>
  <si>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</si>
  <si>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</si>
  <si>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</si>
  <si>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</si>
  <si>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</si>
  <si>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</si>
  <si>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</si>
  <si>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</si>
  <si>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</si>
  <si>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</si>
  <si>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</si>
  <si>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</si>
  <si>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</si>
  <si>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</si>
  <si>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</si>
  <si>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</si>
  <si>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</si>
  <si>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</si>
  <si>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</si>
  <si>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</si>
  <si>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</si>
  <si>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</si>
  <si>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</si>
  <si>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</si>
  <si>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</si>
  <si>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</si>
  <si>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Thiruvallur</t>
  </si>
  <si>
    <t>Thiruvarur</t>
  </si>
  <si>
    <t>Tiruchirappalli</t>
  </si>
  <si>
    <t>Tirunelveli</t>
  </si>
  <si>
    <t>Tiruppur</t>
  </si>
  <si>
    <t>Tiruvanamalai</t>
  </si>
  <si>
    <t>Toothukudi</t>
  </si>
  <si>
    <t>Vellore</t>
  </si>
  <si>
    <t>Villuppuram</t>
  </si>
  <si>
    <t>Virudhunagar</t>
  </si>
  <si>
    <t>Telangana</t>
  </si>
  <si>
    <t>Adilabad</t>
  </si>
  <si>
    <t>Bhadradri Kothagudem</t>
  </si>
  <si>
    <t>Hyderabad</t>
  </si>
  <si>
    <t>Jagtial</t>
  </si>
  <si>
    <t>Jangaon</t>
  </si>
  <si>
    <t>Jayashankar Bhoopalpally</t>
  </si>
  <si>
    <t>Jogulamba Gadwal</t>
  </si>
  <si>
    <t>Kamareddy</t>
  </si>
  <si>
    <t>Karim Nagar</t>
  </si>
  <si>
    <t>Khammam</t>
  </si>
  <si>
    <t>Komaram Bheem Asifabad</t>
  </si>
  <si>
    <t>Mahabubabad</t>
  </si>
  <si>
    <t>Mahbubnagar</t>
  </si>
  <si>
    <t>Mancherial</t>
  </si>
  <si>
    <t>Medak</t>
  </si>
  <si>
    <t>Medchal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</si>
  <si>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</si>
  <si>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</si>
  <si>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</si>
  <si>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</si>
  <si>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</si>
  <si>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</si>
  <si>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</si>
  <si>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</si>
  <si>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</si>
  <si>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</si>
  <si>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</si>
  <si>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</si>
  <si>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(Rural)</t>
  </si>
  <si>
    <t>Warangal (Urban)</t>
  </si>
  <si>
    <t>Yadadri Bhuvanagiri</t>
  </si>
  <si>
    <t>Tripura</t>
  </si>
  <si>
    <t>Dhalai</t>
  </si>
  <si>
    <t>Gomati</t>
  </si>
  <si>
    <t>Khowai</t>
  </si>
  <si>
    <t>North Tripura</t>
  </si>
  <si>
    <t>Sipahijala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</si>
  <si>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</si>
  <si>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</si>
  <si>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</si>
  <si>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</si>
  <si>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</si>
  <si>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</si>
  <si>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</si>
  <si>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</si>
  <si>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</si>
  <si>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</si>
  <si>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</si>
  <si>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</si>
  <si>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</si>
  <si>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</si>
  <si>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</si>
  <si>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</si>
  <si>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</si>
  <si>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</si>
  <si>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</si>
  <si>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</si>
  <si>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 S M Nagar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</si>
  <si>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</si>
  <si>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</si>
  <si>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</si>
  <si>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</si>
  <si>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</si>
  <si>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</si>
  <si>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</si>
  <si>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</si>
  <si>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</si>
  <si>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</si>
  <si>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</si>
  <si>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</si>
  <si>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</si>
  <si>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</si>
  <si>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</si>
  <si>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</si>
  <si>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</si>
  <si>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</si>
  <si>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</si>
  <si>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</si>
  <si>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</si>
  <si>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</si>
  <si>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</si>
  <si>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</si>
  <si>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Kashi Ram Nagar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</si>
  <si>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</si>
  <si>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</si>
  <si>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</si>
  <si>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</si>
  <si>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</si>
  <si>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</si>
  <si>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</si>
  <si>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</si>
  <si>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</si>
  <si>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Maunathbhanjan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</si>
  <si>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</si>
  <si>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</si>
  <si>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</si>
  <si>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</si>
  <si>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</si>
  <si>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</si>
  <si>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</si>
  <si>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</si>
  <si>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</si>
  <si>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</si>
  <si>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</si>
  <si>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</si>
  <si>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</si>
  <si>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</si>
  <si>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</si>
  <si>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</si>
  <si>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</si>
  <si>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</si>
  <si>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</si>
  <si>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</si>
  <si>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</si>
  <si>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</si>
  <si>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</si>
  <si>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</si>
  <si>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</si>
  <si>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</si>
  <si>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</si>
  <si>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Haridwar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</si>
  <si>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</si>
  <si>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</si>
  <si>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</si>
  <si>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</si>
  <si>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</si>
  <si>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</si>
  <si>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</si>
  <si>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</si>
  <si>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</si>
  <si>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Bardhaman</t>
  </si>
  <si>
    <t>Birbhum</t>
  </si>
  <si>
    <t>Dakshin Dinajpur</t>
  </si>
  <si>
    <t>Darjeeling</t>
  </si>
  <si>
    <t>Howrah</t>
  </si>
  <si>
    <t>Hooghly</t>
  </si>
  <si>
    <t>Jalpaiguri</t>
  </si>
  <si>
    <t>Kalimpong</t>
  </si>
  <si>
    <t>Coochbehar</t>
  </si>
  <si>
    <t>Kolkata</t>
  </si>
  <si>
    <t>Malda</t>
  </si>
  <si>
    <t xml:space="preserve">Midnapor East </t>
  </si>
  <si>
    <t>Midnapor West</t>
  </si>
  <si>
    <t>Murshidabad</t>
  </si>
  <si>
    <t>Nadia</t>
  </si>
  <si>
    <t>North 24 Parganas</t>
  </si>
  <si>
    <t>Puruliya</t>
  </si>
  <si>
    <t>South 24 Parganas</t>
  </si>
  <si>
    <t>Uttar Dinajpur</t>
  </si>
  <si>
    <t>_Select State_</t>
  </si>
  <si>
    <t xml:space="preserve">Number of live births in the facility in the reporting month </t>
  </si>
  <si>
    <t>Total Number of new  born Screened in Current Reporting Month</t>
  </si>
  <si>
    <t>Congenital Heart diseases</t>
  </si>
  <si>
    <t>Total Number of Deliveries Points Reported</t>
  </si>
  <si>
    <t>Number of Blocks:</t>
  </si>
  <si>
    <t>SDH</t>
  </si>
  <si>
    <t>CHC</t>
  </si>
  <si>
    <t>PHC</t>
  </si>
  <si>
    <t xml:space="preserve">Number of Facilities Reported-
</t>
  </si>
  <si>
    <t>SHC</t>
  </si>
  <si>
    <t>FRUs</t>
  </si>
  <si>
    <t>Type of Facility</t>
  </si>
  <si>
    <t>DHs</t>
  </si>
  <si>
    <t>Total Number of Children identified with Defect at Birth</t>
  </si>
  <si>
    <t>Data Compilation Matrix through Automation Compiler in RBSK Web Portal</t>
  </si>
  <si>
    <t>Type of Reporting Format</t>
  </si>
  <si>
    <t>Data Aggregation Unit</t>
  </si>
  <si>
    <t xml:space="preserve">Frequency of Reporting </t>
  </si>
  <si>
    <t xml:space="preserve">Timeline of Submission/Uploading for MPR Reports </t>
  </si>
  <si>
    <t>Delivery Point's Facility
(FRU/DH/SDH/CHC/PHC/SHC)</t>
  </si>
  <si>
    <t>District RBSK Nodal /Block Nodal Person</t>
  </si>
  <si>
    <t>District Level/Block Level</t>
  </si>
  <si>
    <t xml:space="preserve">  Screening 
Data Units </t>
  </si>
  <si>
    <t xml:space="preserve">District /Block level </t>
  </si>
  <si>
    <t>Monthly</t>
  </si>
  <si>
    <t>State may decide or finalise tentative date</t>
  </si>
  <si>
    <t>ASHA HBNC Visit</t>
  </si>
  <si>
    <t>New Born Screening
Delivery Point (Annexure 1) Only for Defect at Birth</t>
  </si>
  <si>
    <t>Point of Data Entry/Uploading</t>
  </si>
  <si>
    <t>SCHOOL and AWCs</t>
  </si>
  <si>
    <t>MHT Annexure 3</t>
  </si>
  <si>
    <t>New Born Screening
Delivery Point (Annexure 2) Only for Defect at Birth</t>
  </si>
  <si>
    <t xml:space="preserve">MHT Team Person (Pharmicst) </t>
  </si>
  <si>
    <t>Block Level</t>
  </si>
  <si>
    <t>Block level</t>
  </si>
  <si>
    <t>Responsibility of Nominated Data Person for uploading data in Online RBSK</t>
  </si>
  <si>
    <t xml:space="preserve">Microcephaly </t>
  </si>
  <si>
    <t xml:space="preserve">Macrocephaly </t>
  </si>
  <si>
    <t>Severe Stunting</t>
  </si>
  <si>
    <t>Vitamin B complex deficiency.</t>
  </si>
  <si>
    <t xml:space="preserve">Childhood leprosy Disease </t>
  </si>
  <si>
    <t>Childhood Extra  Pulmonary T. B.</t>
  </si>
  <si>
    <t xml:space="preserve">Childhood T.B.   </t>
  </si>
  <si>
    <r>
      <t xml:space="preserve">Retinopathy of Prematurity </t>
    </r>
    <r>
      <rPr>
        <b/>
        <u/>
        <sz val="10"/>
        <color rgb="FF000000"/>
        <rFont val="Arial"/>
        <family val="2"/>
      </rPr>
      <t>(Only at DH)</t>
    </r>
  </si>
  <si>
    <t>Neural tube defects</t>
  </si>
  <si>
    <t>Anencephaly</t>
  </si>
  <si>
    <t>Down Syndrome</t>
  </si>
  <si>
    <t>Surgery will depend on associated congenital malformations</t>
  </si>
  <si>
    <t>No Surgical Procedure Required</t>
  </si>
  <si>
    <t>Cleft lip and Cleft palate</t>
  </si>
  <si>
    <t>Talipes (Club Foot)</t>
  </si>
  <si>
    <t>Developmental Dysplasia of the Hip (DDH)</t>
  </si>
  <si>
    <t>Open reduction with Femoral and Acetabular Osteotomy</t>
  </si>
  <si>
    <t>Congential Cataract</t>
  </si>
  <si>
    <t>Congential Heart Disease (CHD)</t>
  </si>
  <si>
    <t>Rheumatic Heart Disease</t>
  </si>
  <si>
    <t>Confirmed Disease</t>
  </si>
  <si>
    <t>Surgical Type</t>
  </si>
  <si>
    <t>Retinopathy of Pre- maturity (ROP)</t>
  </si>
  <si>
    <t>Dental Caries</t>
  </si>
  <si>
    <t>Dental IOPA X ray</t>
  </si>
  <si>
    <t>Vision Impairement</t>
  </si>
  <si>
    <t>Strabismus</t>
  </si>
  <si>
    <t>Spina Bifida  Surgery (ICD- 2.1 Cereberal/ 3.5 Spinal)</t>
  </si>
  <si>
    <t>Ventriculo- peritoneal shunt for hydrocephalus 
(ICD-2.34)</t>
  </si>
  <si>
    <t>Spina Bifida (1)</t>
  </si>
  <si>
    <t>Spina Bifida (1.1)</t>
  </si>
  <si>
    <t>Cleft lip (3)</t>
  </si>
  <si>
    <t>Cleft Palate (4)</t>
  </si>
  <si>
    <t>Talipes (5)</t>
  </si>
  <si>
    <t>Talipes (5.1)</t>
  </si>
  <si>
    <t>Talipes (5.2)</t>
  </si>
  <si>
    <t>Talipes (5.3)</t>
  </si>
  <si>
    <t>Talipes (5.4)</t>
  </si>
  <si>
    <t>Talipes (5.5)</t>
  </si>
  <si>
    <t>Talipes (5.6)</t>
  </si>
  <si>
    <t>Repair of Cleft lip (ICD-27.54)</t>
  </si>
  <si>
    <t>Correction of Cleft palate (ICD-27.62)</t>
  </si>
  <si>
    <t>CTEV correction - Casting (UL) (ICD-83.84)</t>
  </si>
  <si>
    <t>CTEV correction - Casting (BL) (ICD-83.84)</t>
  </si>
  <si>
    <t>CTEV correction (ICD-83.84)</t>
  </si>
  <si>
    <t>-Tenotomy (UL) (ICD-83.84)</t>
  </si>
  <si>
    <t>-Tenotomy (BL) (ICD-83.84)</t>
  </si>
  <si>
    <t>CTEV correction - Bracing (ICD-83.84)</t>
  </si>
  <si>
    <t>CTEV correction - Ponseti (Total) (ICD-83.84)</t>
  </si>
  <si>
    <t>Pavlik Harness ( (ICD-93.5)</t>
  </si>
  <si>
    <t>DDH (11)</t>
  </si>
  <si>
    <t>DDH (11.1)</t>
  </si>
  <si>
    <t>DDH (11.2)</t>
  </si>
  <si>
    <t>DDH (11.3)</t>
  </si>
  <si>
    <t>DDH (11.4)</t>
  </si>
  <si>
    <t>DDH (11.5)</t>
  </si>
  <si>
    <t>DDH (11.6)</t>
  </si>
  <si>
    <t>DDH (11.7)</t>
  </si>
  <si>
    <t xml:space="preserve"> Closed reduction and Hip spica (ICD-79.7 &amp; 93.5)</t>
  </si>
  <si>
    <t>Open reduction and Hip spica (ICD-79.8 &amp; 93.5)</t>
  </si>
  <si>
    <t>Open reduction with Femoral Osteotomy 
(ICD-79.8 &amp; 86.89)</t>
  </si>
  <si>
    <t>Femoral Osteotomy (ICD-79.8 &amp; 86.89)</t>
  </si>
  <si>
    <t>Pelvic Support Osteotomy (ICD-77.3)</t>
  </si>
  <si>
    <t>Acetabular Osteotomy (ICD-77.35)</t>
  </si>
  <si>
    <t>Paediatric Cataract Surgery (Phacoemulsification IOL) (ICD-13.71.3)</t>
  </si>
  <si>
    <t xml:space="preserve">Cataract surgery (Phacoemulsification) (ICD-13.41)
</t>
  </si>
  <si>
    <t>Congential Cataract(19)</t>
  </si>
  <si>
    <t>Congential Cataract (19.1)</t>
  </si>
  <si>
    <t>Congenital Deafness (21)</t>
  </si>
  <si>
    <t>Congenital Deafness (21.1)</t>
  </si>
  <si>
    <t xml:space="preserve">Atrial Septal Defect (ASD) (23)
</t>
  </si>
  <si>
    <t xml:space="preserve">Atrial Septal Defect (ASD) (23.1)
</t>
  </si>
  <si>
    <t>Behind Ear Analogue Hearing Aid (ICD-20.95)</t>
  </si>
  <si>
    <t>Cochlear Implant Surgery for children below 2 years  (ICD-20.9)</t>
  </si>
  <si>
    <t>ASD Device Closure (ICD-35.51)</t>
  </si>
  <si>
    <t xml:space="preserve">ASD Surgical Closure (Intracardiac repair) (ICD-35.71)
</t>
  </si>
  <si>
    <t xml:space="preserve">AVSD / AV Canal Defect repair (ICD-35.71)
</t>
  </si>
  <si>
    <t>AV Canal defect (25)</t>
  </si>
  <si>
    <t xml:space="preserve">Ventricular Septal Defect (VSD) (26)
</t>
  </si>
  <si>
    <t xml:space="preserve">Ventricular Septal Defect (VSD) (26.1)
</t>
  </si>
  <si>
    <t xml:space="preserve">Ventricular Septal Defect (VSD) (26.2)
</t>
  </si>
  <si>
    <t xml:space="preserve">Ventricular Septal Defect (VSD) (26.3)
</t>
  </si>
  <si>
    <t>VSD Device Closure with PDA device (ICD.35.53)</t>
  </si>
  <si>
    <t>VSD Device Closure with VSD device (ICD.35.53)</t>
  </si>
  <si>
    <t>VSD Device Closure with VSD device in infants (ICD.35.53)</t>
  </si>
  <si>
    <t>VSD Surgical Closure (Intracardiac repair) (ICD.35.72)</t>
  </si>
  <si>
    <t>PDA Device Closure (ICD-35.83.2)</t>
  </si>
  <si>
    <t>PDA coil closure: single coil  (ICD-35.83.3)</t>
  </si>
  <si>
    <t>PDA coil closure: multiple coil  (ICD-35.83.4)</t>
  </si>
  <si>
    <t>Surgical closure of PDA (PDA ligation)  (ICD-35.83)</t>
  </si>
  <si>
    <t>PDA stenting  (ICD-35.83.1)</t>
  </si>
  <si>
    <t>Patent Ductus Arteriosus (PDA) (30)</t>
  </si>
  <si>
    <t>Patent Ductus Arteriosus (PDA) (30.1)</t>
  </si>
  <si>
    <t>Patent Ductus Arteriosus (PDA) (30.2)</t>
  </si>
  <si>
    <t>Patent Ductus Arteriosus (PDA) (30.3)</t>
  </si>
  <si>
    <t>Patent Ductus Arteriosus (PDA) (30.4)</t>
  </si>
  <si>
    <t xml:space="preserve">Truncus Arteriosus Surgery (ICD-35.83)
</t>
  </si>
  <si>
    <t xml:space="preserve">Surgical correction of TAPVC (ICD-35.82)
</t>
  </si>
  <si>
    <t>Total correction of TOF (ICD-35.81)</t>
  </si>
  <si>
    <t>Systemic Pulmonary (ICD-39)</t>
  </si>
  <si>
    <t>Truncus Arteriosus (35)</t>
  </si>
  <si>
    <t>TAPVC (36)</t>
  </si>
  <si>
    <t xml:space="preserve">Tetrology of Fallot (TOF) (37)
</t>
  </si>
  <si>
    <t xml:space="preserve">Tetrology of Fallot (TOF) (37.1)
</t>
  </si>
  <si>
    <t>Pulmonary Atresia /(39)</t>
  </si>
  <si>
    <t>Pulmonary Stenosis (40)</t>
  </si>
  <si>
    <t>Tricuspid Atresia / Tricuspid Stenosis and Ebstein’s Anomaly (41)</t>
  </si>
  <si>
    <t>Tricuspid Atresia / Tricuspid Stenosis and Ebstein’s Anomaly (42)</t>
  </si>
  <si>
    <t>Aortic valve Stenosis (43)</t>
  </si>
  <si>
    <t>Aortic valve Stenosis (43.1)</t>
  </si>
  <si>
    <t>Aortic valve Stenosis (43.)</t>
  </si>
  <si>
    <t>Aortic valve Stenosis (43.2)</t>
  </si>
  <si>
    <t>Aortic valve Stenosis (43.3)</t>
  </si>
  <si>
    <t>Aortic valve Stenosis (43.4)</t>
  </si>
  <si>
    <t xml:space="preserve">Hypoplastic Left Heart Syndrome </t>
  </si>
  <si>
    <t>Transposi- tion ofthe great arteries (TGA) (49)</t>
  </si>
  <si>
    <t>Transposi- tion ofthe great arteries (TGA) (49.1)</t>
  </si>
  <si>
    <t>Transposi- tion ofthe great arteries (TGA) (49.2)</t>
  </si>
  <si>
    <t>Transposi- tion ofthe great arteries (TGA) (49.3)</t>
  </si>
  <si>
    <t>Transposi- tion ofthe great arteries (TGA) (49.4)</t>
  </si>
  <si>
    <t>Transposi- tion ofthe great arteries (TGA) (49.5)</t>
  </si>
  <si>
    <t>Transposi- tion ofthe great arteries (TGA) (49.6)</t>
  </si>
  <si>
    <t>Open pulmonary valvotomy (ICD-35.13)</t>
  </si>
  <si>
    <t>Balloon pulmonary valvotomy  (ICD-35.03)</t>
  </si>
  <si>
    <t>Glenn procedure  (ICD-35.94)</t>
  </si>
  <si>
    <t>Fontan procedure  (ICD-35.94)</t>
  </si>
  <si>
    <t>Aortic valve replacement (with valve)  (ICD-35.23)</t>
  </si>
  <si>
    <t>Aortic valve replacement (with Bioprosthetic valve)  (ICD-35.22.3)</t>
  </si>
  <si>
    <t>Open aortic valvotomy  (ICD-35.11)</t>
  </si>
  <si>
    <t>Ross procedure without conduits (ICD-35.22.1)</t>
  </si>
  <si>
    <t>Ross procedure with conduits (ICD-35.01)</t>
  </si>
  <si>
    <t>Balloon aortic valvotomy (ICD-35.84)</t>
  </si>
  <si>
    <t xml:space="preserve">Surgery not covered under RBSK </t>
  </si>
  <si>
    <t>TGA Arterial Switch  (ICD-35.91)</t>
  </si>
  <si>
    <t>TGA Sennings Procedure  (ICD-35.91)</t>
  </si>
  <si>
    <t>TGA Mustards Procedure  (ICD-39.5)</t>
  </si>
  <si>
    <t>Coarctation dilatation  (ICD-39.5)</t>
  </si>
  <si>
    <t>Coarctation dilatation with stent  (ICD-39.5)</t>
  </si>
  <si>
    <t>Coarctation aorta repair with graft  (ICD-39.5)</t>
  </si>
  <si>
    <t>Coarctation aorta repair without graft  (ICD-39.5)</t>
  </si>
  <si>
    <t>Photocoagulation for ROP  (ICD-14.25)</t>
  </si>
  <si>
    <t>Myringotomy with grommet  for one ear (ICD-20.01)</t>
  </si>
  <si>
    <t>Myringotomy with grommet  for both ears (ICD-20.01)</t>
  </si>
  <si>
    <t>Myringoplasty (ICD-19.4)</t>
  </si>
  <si>
    <t>Myringoplasty with ossiculoplasty (ICD-19.4)</t>
  </si>
  <si>
    <t>Tympanoplasty / Cortical mastoidectomy (ICD-19.5)</t>
  </si>
  <si>
    <t>Radical / Modified radical Mastoidectomy (ICD-20.4)</t>
  </si>
  <si>
    <t>Retinopathy of Pre- maturity (ROP) (56)</t>
  </si>
  <si>
    <t>Acute and Chronic Suppurative Otitis Media (ASOM and CSOM) (57)</t>
  </si>
  <si>
    <t>Acute and Chronic Suppurative Otitis Media (ASOM and CSOM)(57.1)</t>
  </si>
  <si>
    <t>Chronic Suppurative Otitis Media (CSOM) (59)</t>
  </si>
  <si>
    <t>Chronic Suppurative Otitis Media (CSOM) (59.1)</t>
  </si>
  <si>
    <t>Chronic Suppurative Otitis Media (CSOM) (59.2)</t>
  </si>
  <si>
    <t>Chronic Suppurative Otitis Media (CSOM) (59.3)</t>
  </si>
  <si>
    <t>Mitral valve Stenosis(63)</t>
  </si>
  <si>
    <t>Mitral valve Stenosis(63.1)</t>
  </si>
  <si>
    <t>Mitral valve Stenosis(63.2)</t>
  </si>
  <si>
    <t>Mitral valve Stenosis(63.3)</t>
  </si>
  <si>
    <t>Mitral valve Stenosis(63.4)</t>
  </si>
  <si>
    <t>Mitral valve Stenosis(63.5)</t>
  </si>
  <si>
    <t>Mitral valve Stenosis(63.6)</t>
  </si>
  <si>
    <t>Dental Caries(73)</t>
  </si>
  <si>
    <t>Dental Caries(74)</t>
  </si>
  <si>
    <t>Dental Caries(75)</t>
  </si>
  <si>
    <t>Dental Caries(76)</t>
  </si>
  <si>
    <t>Dental Caries(77)</t>
  </si>
  <si>
    <t>Dental Caries(78)</t>
  </si>
  <si>
    <t>Dental Caries(79)</t>
  </si>
  <si>
    <t>Dental Caries(80)</t>
  </si>
  <si>
    <t>Dental Caries(81)</t>
  </si>
  <si>
    <t>Dental Caries(82)</t>
  </si>
  <si>
    <t>Dental Caries(83)</t>
  </si>
  <si>
    <t>Dental Caries(84)</t>
  </si>
  <si>
    <t>Dental Caries(85)</t>
  </si>
  <si>
    <t>Dental Caries(86)</t>
  </si>
  <si>
    <t>Dental Caries(87)</t>
  </si>
  <si>
    <t>Dental Caries(88)</t>
  </si>
  <si>
    <t>Dental Caries(89)</t>
  </si>
  <si>
    <t>Dental Caries(90)</t>
  </si>
  <si>
    <t>Dental Caries(91)</t>
  </si>
  <si>
    <t>Dental Caries(92)</t>
  </si>
  <si>
    <t>Dental Caries(93)</t>
  </si>
  <si>
    <t>Dental Caries(94)</t>
  </si>
  <si>
    <t>Dental Caries(95)</t>
  </si>
  <si>
    <t>Dental Caries(96)</t>
  </si>
  <si>
    <t>Dental Caries(97)</t>
  </si>
  <si>
    <t>Dental Caries(98)</t>
  </si>
  <si>
    <t>Dental Caries(99)</t>
  </si>
  <si>
    <t>Dental Caries(100)</t>
  </si>
  <si>
    <t>Dental Caries(101)</t>
  </si>
  <si>
    <t>Dental Caries(102)</t>
  </si>
  <si>
    <t>Mitral valve Stenosis(63.7)</t>
  </si>
  <si>
    <t>Closed mitral valvotomy(ICD -35.02)</t>
  </si>
  <si>
    <t>Open mitral valvotomy(ICD -35.12)</t>
  </si>
  <si>
    <t>Balloon Mitral valvotomy(ICD -35.02)</t>
  </si>
  <si>
    <t>Mitral valve replacement (with valve)(ICD -35.23)</t>
  </si>
  <si>
    <t>Mitral valve replacement (Bioprosthetic valve)(ICD -35.24)</t>
  </si>
  <si>
    <t>Mitral valve repair (without Prosthetic ring)(ICD -35.24)</t>
  </si>
  <si>
    <t>Mitral valve repair (with Prosthetic ring)(ICD -35.24)</t>
  </si>
  <si>
    <t>Double valve replacement (with valve)(ICD -35.20.2)</t>
  </si>
  <si>
    <t>Double valve replacement (Bioprosthetic valve)(ICD -35.20.3)</t>
  </si>
  <si>
    <t>Extraction Tooth(ICD -23.01)</t>
  </si>
  <si>
    <t>Application of Pit &amp; Fissure Sealants (Pedo Full mouth)(ICD -23.2.1)</t>
  </si>
  <si>
    <t>Amalgam Restoration Per Tooth(ICD -23.2.2)</t>
  </si>
  <si>
    <t>Temporary Filling Per Tooth(ICD -23.2.3)</t>
  </si>
  <si>
    <t>Tooth Coloured Restoration Per Tooth (GIC)(ICD -23.2.4)</t>
  </si>
  <si>
    <t>Tooth Coloured Restoration Per Tooth (Composite)(ICD -23.2.4)</t>
  </si>
  <si>
    <t>Flouride Varnish Application (Pedo Full mouth)(ICD -23.4.1)</t>
  </si>
  <si>
    <t>Atraumatic Restorative Treatment(ICD -23.4.6)</t>
  </si>
  <si>
    <t>Pulpectomy With Ssc (Stainless Steel Crown )(ICD -23.4.7)</t>
  </si>
  <si>
    <t>Root Canal Treatment – Deciduous Tooth(ICD -23.7.1)</t>
  </si>
  <si>
    <t>Anterior Root Canal Treatment(ICD -23.7.2)</t>
  </si>
  <si>
    <t>Apicocetomy(ICD -23.7.3)</t>
  </si>
  <si>
    <t>Posterior Root Canal Treatment with Permanent Restoration(ICD -23.7.5)</t>
  </si>
  <si>
    <t>Extraction Of III Molar / Impacted Tooth under L.A(ICD -23.19.1)</t>
  </si>
  <si>
    <t>Surgical Extraction of Tooth(ICD -23.19.2)</t>
  </si>
  <si>
    <t>Fabrication &amp; Cementation of Metal Ceramic Crown per unit(ICD -23.41.2)</t>
  </si>
  <si>
    <t>Placement of Stainless Steel crown perTooth(ICD -23.41.4)</t>
  </si>
  <si>
    <t>Metal Post &amp; Core Restoration with Metal Ceramic Crown (Anterior)(ICD -23.41.7)</t>
  </si>
  <si>
    <t>Treatment with Expansion Plate(ICD -23.42.2)</t>
  </si>
  <si>
    <t>Fabrication &amp; Insertion of Removable Appliance (Upper/ Lower )(ICD -23.43.2)</t>
  </si>
  <si>
    <t>Fabrication &amp; Insertion of Removable Partial Denture - Single Tooth (Anterior)(ICD -23.43.4)</t>
  </si>
  <si>
    <t>Fabrication &amp; Insertion of Fixed Space Maintainers / Space Retainer(ICD -23.43.6)</t>
  </si>
  <si>
    <t>Fabrication &amp; Insertion of Removable Space Maintainers (Pedo)(ICD -23.43.7)</t>
  </si>
  <si>
    <t>Fixed Orthodontics Treatment-Metal Braces for Cleft palate only(ICD -24.7.5)</t>
  </si>
  <si>
    <t>Fabrication &amp; Insertion of Feeding Plate (Acrylic)(ICD -24.7.8)</t>
  </si>
  <si>
    <t>Fabrication &amp; Insertion of Obturator -Acrylic(ICD -24.7.9)</t>
  </si>
  <si>
    <t>Fabrication &amp; Insertion of Obturator  &amp; Speech Bulb-Acrylic(ICD -24.7.10)</t>
  </si>
  <si>
    <t>Incision &amp; Drainage of Simple Abscess (per Tooth)(ICD -27.1)</t>
  </si>
  <si>
    <t>Incision &amp; Drainage of Facial Abscess Under LA(ICD -27.3)</t>
  </si>
  <si>
    <t>Oral Prophylaxis - calculi (Upper/ Lower)(ICD -96.54.2)</t>
  </si>
  <si>
    <t>Single muscle surgery(ICD -15.2.)</t>
  </si>
  <si>
    <t>Two or three  muscles surgery(ICD -15.4)</t>
  </si>
  <si>
    <t>Select</t>
  </si>
  <si>
    <t>Lohara</t>
  </si>
  <si>
    <t>Dharashiv</t>
  </si>
</sst>
</file>

<file path=xl/styles.xml><?xml version="1.0" encoding="utf-8"?>
<styleSheet xmlns="http://schemas.openxmlformats.org/spreadsheetml/2006/main">
  <numFmts count="1">
    <numFmt numFmtId="164" formatCode="[$-809]General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rial Narrow"/>
      <family val="2"/>
    </font>
    <font>
      <u/>
      <sz val="11"/>
      <color indexed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b/>
      <sz val="10"/>
      <color rgb="FFFF0000"/>
      <name val="Calibri"/>
      <family val="2"/>
      <scheme val="minor"/>
    </font>
    <font>
      <b/>
      <sz val="16"/>
      <color theme="1"/>
      <name val="Arial"/>
      <family val="2"/>
    </font>
    <font>
      <u/>
      <sz val="10"/>
      <color indexed="8"/>
      <name val="Arial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2"/>
      <name val="Arial Black"/>
      <family val="2"/>
    </font>
    <font>
      <b/>
      <sz val="12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Arial Black"/>
      <family val="2"/>
    </font>
    <font>
      <b/>
      <sz val="14"/>
      <name val="Arial Black"/>
      <family val="2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u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horizontal="left" indent="1"/>
    </xf>
    <xf numFmtId="164" fontId="2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13" borderId="0"/>
  </cellStyleXfs>
  <cellXfs count="415">
    <xf numFmtId="0" fontId="0" fillId="0" borderId="0" xfId="0"/>
    <xf numFmtId="0" fontId="9" fillId="0" borderId="2" xfId="0" applyFont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9" fillId="8" borderId="2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3" fillId="16" borderId="2" xfId="0" applyFont="1" applyFill="1" applyBorder="1"/>
    <xf numFmtId="0" fontId="3" fillId="19" borderId="2" xfId="0" applyFont="1" applyFill="1" applyBorder="1"/>
    <xf numFmtId="0" fontId="3" fillId="9" borderId="2" xfId="0" applyFont="1" applyFill="1" applyBorder="1"/>
    <xf numFmtId="0" fontId="3" fillId="11" borderId="2" xfId="0" applyFont="1" applyFill="1" applyBorder="1" applyAlignment="1">
      <alignment horizontal="left" vertical="center"/>
    </xf>
    <xf numFmtId="0" fontId="36" fillId="17" borderId="2" xfId="0" applyFont="1" applyFill="1" applyBorder="1" applyAlignment="1">
      <alignment horizontal="center"/>
    </xf>
    <xf numFmtId="0" fontId="36" fillId="17" borderId="2" xfId="0" applyFont="1" applyFill="1" applyBorder="1" applyAlignment="1">
      <alignment horizontal="center" vertical="center"/>
    </xf>
    <xf numFmtId="0" fontId="36" fillId="12" borderId="2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 wrapText="1"/>
    </xf>
    <xf numFmtId="0" fontId="36" fillId="20" borderId="2" xfId="0" applyFont="1" applyFill="1" applyBorder="1" applyAlignment="1">
      <alignment horizontal="center"/>
    </xf>
    <xf numFmtId="0" fontId="38" fillId="12" borderId="2" xfId="0" applyFont="1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10" fillId="0" borderId="2" xfId="0" applyFont="1" applyBorder="1" applyProtection="1">
      <protection locked="0"/>
    </xf>
    <xf numFmtId="0" fontId="12" fillId="4" borderId="2" xfId="0" applyFont="1" applyFill="1" applyBorder="1" applyAlignment="1" applyProtection="1">
      <alignment horizontal="left" vertical="center" wrapText="1"/>
      <protection locked="0"/>
    </xf>
    <xf numFmtId="0" fontId="6" fillId="4" borderId="2" xfId="0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 applyProtection="1">
      <alignment horizontal="left" vertical="center"/>
      <protection locked="0"/>
    </xf>
    <xf numFmtId="0" fontId="15" fillId="15" borderId="2" xfId="0" applyFont="1" applyFill="1" applyBorder="1" applyAlignment="1" applyProtection="1">
      <alignment horizontal="center" vertical="center" wrapText="1"/>
      <protection locked="0"/>
    </xf>
    <xf numFmtId="0" fontId="15" fillId="16" borderId="2" xfId="0" applyFont="1" applyFill="1" applyBorder="1" applyAlignment="1" applyProtection="1">
      <alignment horizontal="center" vertical="center" wrapText="1"/>
      <protection locked="0"/>
    </xf>
    <xf numFmtId="0" fontId="32" fillId="18" borderId="2" xfId="0" applyFont="1" applyFill="1" applyBorder="1" applyAlignment="1" applyProtection="1">
      <alignment horizontal="center" vertical="center" wrapText="1"/>
      <protection locked="0"/>
    </xf>
    <xf numFmtId="0" fontId="44" fillId="15" borderId="2" xfId="0" applyFont="1" applyFill="1" applyBorder="1" applyAlignment="1" applyProtection="1">
      <alignment horizontal="center"/>
      <protection locked="0"/>
    </xf>
    <xf numFmtId="0" fontId="44" fillId="16" borderId="2" xfId="0" applyFont="1" applyFill="1" applyBorder="1" applyAlignment="1" applyProtection="1">
      <alignment horizontal="center"/>
      <protection locked="0"/>
    </xf>
    <xf numFmtId="0" fontId="44" fillId="18" borderId="2" xfId="0" applyFont="1" applyFill="1" applyBorder="1" applyAlignment="1" applyProtection="1">
      <alignment horizontal="center"/>
      <protection locked="0"/>
    </xf>
    <xf numFmtId="0" fontId="18" fillId="6" borderId="4" xfId="0" applyFont="1" applyFill="1" applyBorder="1" applyAlignment="1" applyProtection="1">
      <alignment horizontal="center" vertical="center" wrapText="1"/>
      <protection locked="0"/>
    </xf>
    <xf numFmtId="0" fontId="10" fillId="15" borderId="2" xfId="0" applyFont="1" applyFill="1" applyBorder="1" applyProtection="1">
      <protection locked="0"/>
    </xf>
    <xf numFmtId="0" fontId="10" fillId="16" borderId="2" xfId="0" applyFont="1" applyFill="1" applyBorder="1" applyProtection="1">
      <protection locked="0"/>
    </xf>
    <xf numFmtId="0" fontId="10" fillId="18" borderId="2" xfId="0" applyFont="1" applyFill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46" fillId="4" borderId="2" xfId="6" applyFont="1" applyFill="1" applyBorder="1" applyAlignment="1" applyProtection="1">
      <alignment horizontal="left" vertical="top"/>
      <protection locked="0"/>
    </xf>
    <xf numFmtId="0" fontId="47" fillId="4" borderId="2" xfId="6" applyFont="1" applyFill="1" applyBorder="1" applyAlignment="1" applyProtection="1">
      <alignment horizontal="left" vertical="top"/>
      <protection locked="0"/>
    </xf>
    <xf numFmtId="0" fontId="48" fillId="4" borderId="2" xfId="6" applyFont="1" applyFill="1" applyBorder="1" applyAlignment="1" applyProtection="1">
      <alignment vertical="top"/>
      <protection locked="0"/>
    </xf>
    <xf numFmtId="0" fontId="49" fillId="4" borderId="2" xfId="6" applyFont="1" applyFill="1" applyBorder="1" applyAlignment="1" applyProtection="1">
      <alignment vertical="top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9" fillId="4" borderId="2" xfId="6" applyFont="1" applyFill="1" applyBorder="1" applyAlignment="1" applyProtection="1">
      <alignment vertical="top"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0" fillId="7" borderId="0" xfId="0" applyFont="1" applyFill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3" fillId="0" borderId="18" xfId="0" applyFont="1" applyBorder="1" applyProtection="1">
      <protection locked="0"/>
    </xf>
    <xf numFmtId="0" fontId="3" fillId="0" borderId="19" xfId="0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1" xfId="0" applyFont="1" applyBorder="1" applyProtection="1">
      <protection locked="0"/>
    </xf>
    <xf numFmtId="0" fontId="3" fillId="0" borderId="22" xfId="0" applyFont="1" applyBorder="1" applyProtection="1">
      <protection locked="0"/>
    </xf>
    <xf numFmtId="0" fontId="47" fillId="4" borderId="0" xfId="6" applyFont="1" applyFill="1" applyAlignment="1" applyProtection="1">
      <alignment horizontal="left" vertical="top"/>
      <protection locked="0"/>
    </xf>
    <xf numFmtId="0" fontId="49" fillId="0" borderId="2" xfId="6" applyFont="1" applyBorder="1" applyAlignment="1" applyProtection="1">
      <alignment wrapText="1"/>
      <protection locked="0"/>
    </xf>
    <xf numFmtId="0" fontId="46" fillId="4" borderId="2" xfId="6" applyFont="1" applyFill="1" applyBorder="1" applyAlignment="1" applyProtection="1">
      <alignment horizontal="left" vertical="top" wrapText="1"/>
      <protection locked="0"/>
    </xf>
    <xf numFmtId="0" fontId="46" fillId="4" borderId="2" xfId="6" applyFont="1" applyFill="1" applyBorder="1" applyAlignment="1" applyProtection="1">
      <alignment vertical="top"/>
      <protection locked="0"/>
    </xf>
    <xf numFmtId="0" fontId="47" fillId="4" borderId="2" xfId="6" applyFont="1" applyFill="1" applyBorder="1" applyAlignment="1" applyProtection="1">
      <alignment vertical="top"/>
      <protection locked="0"/>
    </xf>
    <xf numFmtId="0" fontId="5" fillId="4" borderId="0" xfId="0" applyFont="1" applyFill="1" applyAlignment="1" applyProtection="1">
      <alignment horizontal="center" vertical="top"/>
      <protection locked="0"/>
    </xf>
    <xf numFmtId="0" fontId="22" fillId="4" borderId="0" xfId="0" applyFont="1" applyFill="1" applyAlignment="1" applyProtection="1">
      <alignment horizontal="center" vertical="top"/>
      <protection locked="0"/>
    </xf>
    <xf numFmtId="0" fontId="2" fillId="4" borderId="26" xfId="0" applyFont="1" applyFill="1" applyBorder="1" applyAlignment="1" applyProtection="1">
      <alignment horizontal="left" vertical="top" wrapText="1"/>
      <protection locked="0"/>
    </xf>
    <xf numFmtId="0" fontId="21" fillId="4" borderId="2" xfId="0" applyFont="1" applyFill="1" applyBorder="1" applyAlignment="1" applyProtection="1">
      <alignment horizontal="center" vertical="top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Protection="1">
      <protection locked="0"/>
    </xf>
    <xf numFmtId="0" fontId="2" fillId="4" borderId="26" xfId="0" applyFont="1" applyFill="1" applyBorder="1" applyAlignment="1" applyProtection="1">
      <alignment horizontal="center" vertical="top" wrapText="1"/>
      <protection locked="0"/>
    </xf>
    <xf numFmtId="0" fontId="2" fillId="4" borderId="2" xfId="0" applyFont="1" applyFill="1" applyBorder="1" applyAlignment="1" applyProtection="1">
      <alignment horizontal="center" vertical="top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4" borderId="26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Protection="1">
      <protection locked="0"/>
    </xf>
    <xf numFmtId="0" fontId="10" fillId="4" borderId="0" xfId="0" applyFont="1" applyFill="1" applyProtection="1">
      <protection locked="0"/>
    </xf>
    <xf numFmtId="0" fontId="12" fillId="5" borderId="2" xfId="0" applyFont="1" applyFill="1" applyBorder="1" applyAlignment="1" applyProtection="1">
      <alignment horizontal="center" vertical="center" wrapText="1"/>
      <protection locked="0"/>
    </xf>
    <xf numFmtId="0" fontId="14" fillId="4" borderId="0" xfId="0" applyFont="1" applyFill="1" applyAlignment="1" applyProtection="1">
      <alignment vertical="center" wrapText="1"/>
      <protection locked="0"/>
    </xf>
    <xf numFmtId="0" fontId="12" fillId="6" borderId="26" xfId="0" applyFont="1" applyFill="1" applyBorder="1" applyAlignment="1" applyProtection="1">
      <alignment horizontal="center" vertical="center" wrapText="1"/>
      <protection locked="0"/>
    </xf>
    <xf numFmtId="0" fontId="7" fillId="6" borderId="26" xfId="0" applyFont="1" applyFill="1" applyBorder="1" applyAlignment="1" applyProtection="1">
      <alignment horizontal="center" vertical="center" wrapText="1"/>
      <protection locked="0"/>
    </xf>
    <xf numFmtId="0" fontId="3" fillId="11" borderId="2" xfId="0" applyFont="1" applyFill="1" applyBorder="1" applyAlignment="1" applyProtection="1">
      <alignment horizontal="left" vertical="center"/>
      <protection locked="0"/>
    </xf>
    <xf numFmtId="0" fontId="16" fillId="7" borderId="2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9" fontId="9" fillId="0" borderId="2" xfId="1" applyFont="1" applyBorder="1" applyAlignment="1" applyProtection="1">
      <alignment horizontal="center" vertical="center"/>
      <protection locked="0"/>
    </xf>
    <xf numFmtId="9" fontId="9" fillId="0" borderId="3" xfId="1" applyFont="1" applyBorder="1" applyAlignment="1" applyProtection="1">
      <alignment horizontal="center" vertical="center"/>
      <protection locked="0"/>
    </xf>
    <xf numFmtId="0" fontId="9" fillId="12" borderId="0" xfId="0" applyFont="1" applyFill="1" applyAlignment="1" applyProtection="1">
      <alignment horizontal="center"/>
      <protection locked="0"/>
    </xf>
    <xf numFmtId="0" fontId="9" fillId="12" borderId="1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7" fillId="6" borderId="25" xfId="0" applyFont="1" applyFill="1" applyBorder="1" applyAlignment="1" applyProtection="1">
      <alignment horizontal="center" vertical="center" wrapText="1"/>
      <protection locked="0"/>
    </xf>
    <xf numFmtId="0" fontId="18" fillId="6" borderId="3" xfId="0" applyFont="1" applyFill="1" applyBorder="1" applyAlignment="1" applyProtection="1">
      <alignment horizontal="center" vertical="center" wrapText="1"/>
      <protection locked="0"/>
    </xf>
    <xf numFmtId="0" fontId="18" fillId="6" borderId="5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2" fillId="0" borderId="0" xfId="0" applyFont="1"/>
    <xf numFmtId="0" fontId="21" fillId="4" borderId="26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32" fillId="18" borderId="2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" fillId="14" borderId="2" xfId="0" applyFont="1" applyFill="1" applyBorder="1"/>
    <xf numFmtId="0" fontId="3" fillId="23" borderId="2" xfId="0" applyFont="1" applyFill="1" applyBorder="1"/>
    <xf numFmtId="0" fontId="37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38" fillId="11" borderId="2" xfId="0" applyFont="1" applyFill="1" applyBorder="1" applyAlignment="1">
      <alignment horizontal="center" vertical="center" wrapText="1"/>
    </xf>
    <xf numFmtId="0" fontId="36" fillId="11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0" fillId="12" borderId="2" xfId="0" applyFont="1" applyFill="1" applyBorder="1"/>
    <xf numFmtId="0" fontId="15" fillId="12" borderId="2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/>
    </xf>
    <xf numFmtId="0" fontId="36" fillId="12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5" fillId="8" borderId="2" xfId="0" applyFont="1" applyFill="1" applyBorder="1" applyAlignment="1">
      <alignment horizontal="center" vertical="center" wrapText="1"/>
    </xf>
    <xf numFmtId="0" fontId="42" fillId="8" borderId="2" xfId="0" applyFont="1" applyFill="1" applyBorder="1" applyAlignment="1">
      <alignment horizontal="center" vertical="center" wrapText="1"/>
    </xf>
    <xf numFmtId="0" fontId="35" fillId="17" borderId="2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 wrapText="1"/>
    </xf>
    <xf numFmtId="0" fontId="36" fillId="15" borderId="2" xfId="0" applyFont="1" applyFill="1" applyBorder="1" applyAlignment="1">
      <alignment horizontal="center"/>
    </xf>
    <xf numFmtId="0" fontId="40" fillId="16" borderId="2" xfId="0" applyFont="1" applyFill="1" applyBorder="1" applyAlignment="1">
      <alignment horizontal="center" vertical="center" wrapText="1"/>
    </xf>
    <xf numFmtId="0" fontId="36" fillId="16" borderId="2" xfId="0" applyFont="1" applyFill="1" applyBorder="1" applyAlignment="1">
      <alignment horizontal="center"/>
    </xf>
    <xf numFmtId="0" fontId="38" fillId="16" borderId="2" xfId="0" applyFont="1" applyFill="1" applyBorder="1" applyAlignment="1">
      <alignment horizontal="center" vertical="center" wrapText="1"/>
    </xf>
    <xf numFmtId="0" fontId="41" fillId="18" borderId="2" xfId="0" applyFont="1" applyFill="1" applyBorder="1" applyAlignment="1">
      <alignment horizontal="center" vertical="center" wrapText="1"/>
    </xf>
    <xf numFmtId="0" fontId="38" fillId="18" borderId="2" xfId="0" applyFont="1" applyFill="1" applyBorder="1" applyAlignment="1">
      <alignment horizontal="center" vertical="center" wrapText="1"/>
    </xf>
    <xf numFmtId="0" fontId="36" fillId="18" borderId="2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 applyProtection="1">
      <alignment horizontal="center" vertical="center"/>
      <protection locked="0"/>
    </xf>
    <xf numFmtId="0" fontId="10" fillId="16" borderId="2" xfId="0" applyFont="1" applyFill="1" applyBorder="1" applyAlignment="1" applyProtection="1">
      <alignment horizontal="center" vertical="center"/>
      <protection locked="0"/>
    </xf>
    <xf numFmtId="0" fontId="10" fillId="18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/>
    </xf>
    <xf numFmtId="9" fontId="9" fillId="0" borderId="2" xfId="1" applyFont="1" applyBorder="1" applyAlignment="1" applyProtection="1">
      <alignment horizontal="center" vertical="center"/>
    </xf>
    <xf numFmtId="9" fontId="9" fillId="0" borderId="3" xfId="1" applyFont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wrapText="1"/>
      <protection locked="0"/>
    </xf>
    <xf numFmtId="0" fontId="7" fillId="7" borderId="5" xfId="0" applyFont="1" applyFill="1" applyBorder="1" applyAlignment="1" applyProtection="1">
      <alignment horizontal="center" wrapText="1"/>
      <protection locked="0"/>
    </xf>
    <xf numFmtId="0" fontId="7" fillId="7" borderId="29" xfId="0" applyFont="1" applyFill="1" applyBorder="1" applyAlignment="1" applyProtection="1">
      <alignment horizontal="center" wrapText="1"/>
      <protection locked="0"/>
    </xf>
    <xf numFmtId="0" fontId="42" fillId="6" borderId="25" xfId="0" applyFont="1" applyFill="1" applyBorder="1" applyAlignment="1">
      <alignment horizontal="left" vertical="center" wrapText="1"/>
    </xf>
    <xf numFmtId="0" fontId="42" fillId="6" borderId="4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>
      <alignment horizontal="left"/>
    </xf>
    <xf numFmtId="0" fontId="7" fillId="24" borderId="5" xfId="0" applyFont="1" applyFill="1" applyBorder="1" applyAlignment="1" applyProtection="1">
      <alignment horizontal="left" vertical="center" wrapText="1"/>
      <protection locked="0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7" fillId="24" borderId="25" xfId="0" applyFont="1" applyFill="1" applyBorder="1" applyAlignment="1">
      <alignment horizontal="left" vertical="center" wrapText="1"/>
    </xf>
    <xf numFmtId="0" fontId="7" fillId="24" borderId="5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>
      <alignment horizontal="left" vertical="center" wrapText="1"/>
    </xf>
    <xf numFmtId="0" fontId="6" fillId="11" borderId="26" xfId="0" applyFont="1" applyFill="1" applyBorder="1" applyAlignment="1" applyProtection="1">
      <alignment horizontal="right" vertical="center" wrapText="1"/>
      <protection locked="0"/>
    </xf>
    <xf numFmtId="0" fontId="6" fillId="11" borderId="2" xfId="0" applyFont="1" applyFill="1" applyBorder="1" applyAlignment="1" applyProtection="1">
      <alignment horizontal="right" vertical="center" wrapText="1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38" xfId="0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3" fillId="11" borderId="33" xfId="0" applyFont="1" applyFill="1" applyBorder="1" applyAlignment="1" applyProtection="1">
      <alignment horizontal="center" vertical="center"/>
      <protection locked="0"/>
    </xf>
    <xf numFmtId="0" fontId="3" fillId="11" borderId="10" xfId="0" applyFont="1" applyFill="1" applyBorder="1" applyAlignment="1" applyProtection="1">
      <alignment horizontal="center" vertical="center"/>
      <protection locked="0"/>
    </xf>
    <xf numFmtId="0" fontId="3" fillId="11" borderId="18" xfId="0" applyFont="1" applyFill="1" applyBorder="1" applyAlignment="1" applyProtection="1">
      <alignment horizontal="center" vertical="center"/>
      <protection locked="0"/>
    </xf>
    <xf numFmtId="0" fontId="3" fillId="11" borderId="12" xfId="0" applyFont="1" applyFill="1" applyBorder="1" applyAlignment="1" applyProtection="1">
      <alignment horizontal="center" vertical="center"/>
      <protection locked="0"/>
    </xf>
    <xf numFmtId="0" fontId="17" fillId="5" borderId="25" xfId="0" applyFont="1" applyFill="1" applyBorder="1" applyAlignment="1" applyProtection="1">
      <alignment horizontal="center" vertical="center" wrapText="1"/>
      <protection locked="0"/>
    </xf>
    <xf numFmtId="0" fontId="17" fillId="5" borderId="5" xfId="0" applyFont="1" applyFill="1" applyBorder="1" applyAlignment="1" applyProtection="1">
      <alignment horizontal="center" vertical="center" wrapText="1"/>
      <protection locked="0"/>
    </xf>
    <xf numFmtId="0" fontId="17" fillId="5" borderId="4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right" vertical="center" wrapText="1"/>
      <protection locked="0"/>
    </xf>
    <xf numFmtId="0" fontId="6" fillId="11" borderId="28" xfId="0" applyFont="1" applyFill="1" applyBorder="1" applyAlignment="1" applyProtection="1">
      <alignment horizontal="right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9" fillId="0" borderId="37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36" xfId="0" applyFont="1" applyBorder="1" applyAlignment="1" applyProtection="1">
      <alignment horizontal="center" vertical="center" wrapText="1"/>
      <protection locked="0"/>
    </xf>
    <xf numFmtId="0" fontId="7" fillId="6" borderId="2" xfId="0" applyFont="1" applyFill="1" applyBorder="1" applyAlignment="1" applyProtection="1">
      <alignment horizontal="left" vertical="center" wrapText="1" indent="2"/>
      <protection locked="0"/>
    </xf>
    <xf numFmtId="0" fontId="0" fillId="0" borderId="2" xfId="0" applyBorder="1" applyAlignment="1" applyProtection="1">
      <alignment horizontal="left" vertical="center" wrapText="1" indent="2"/>
      <protection locked="0"/>
    </xf>
    <xf numFmtId="0" fontId="6" fillId="11" borderId="26" xfId="0" applyFont="1" applyFill="1" applyBorder="1" applyAlignment="1" applyProtection="1">
      <alignment horizontal="left" vertical="center" wrapText="1"/>
      <protection locked="0"/>
    </xf>
    <xf numFmtId="0" fontId="6" fillId="11" borderId="2" xfId="0" applyFont="1" applyFill="1" applyBorder="1" applyAlignment="1" applyProtection="1">
      <alignment horizontal="left" vertical="center" wrapText="1"/>
      <protection locked="0"/>
    </xf>
    <xf numFmtId="0" fontId="15" fillId="6" borderId="2" xfId="0" applyFont="1" applyFill="1" applyBorder="1" applyAlignment="1" applyProtection="1">
      <alignment horizontal="left" vertical="center" wrapText="1"/>
      <protection locked="0"/>
    </xf>
    <xf numFmtId="0" fontId="12" fillId="3" borderId="26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12" fillId="3" borderId="25" xfId="0" applyFont="1" applyFill="1" applyBorder="1" applyAlignment="1" applyProtection="1">
      <alignment horizontal="left" vertical="center" wrapText="1"/>
      <protection locked="0"/>
    </xf>
    <xf numFmtId="0" fontId="12" fillId="3" borderId="5" xfId="0" applyFont="1" applyFill="1" applyBorder="1" applyAlignment="1" applyProtection="1">
      <alignment horizontal="left" vertical="center" wrapText="1"/>
      <protection locked="0"/>
    </xf>
    <xf numFmtId="0" fontId="12" fillId="3" borderId="4" xfId="0" applyFont="1" applyFill="1" applyBorder="1" applyAlignment="1" applyProtection="1">
      <alignment horizontal="left" vertical="center" wrapText="1"/>
      <protection locked="0"/>
    </xf>
    <xf numFmtId="0" fontId="5" fillId="2" borderId="15" xfId="0" applyFont="1" applyFill="1" applyBorder="1" applyAlignment="1" applyProtection="1">
      <alignment horizontal="center" vertical="top"/>
      <protection locked="0"/>
    </xf>
    <xf numFmtId="0" fontId="5" fillId="2" borderId="16" xfId="0" applyFont="1" applyFill="1" applyBorder="1" applyAlignment="1" applyProtection="1">
      <alignment horizontal="center" vertical="top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22" fillId="2" borderId="18" xfId="0" applyFont="1" applyFill="1" applyBorder="1" applyAlignment="1" applyProtection="1">
      <alignment horizontal="center" vertical="top"/>
      <protection locked="0"/>
    </xf>
    <xf numFmtId="0" fontId="22" fillId="2" borderId="0" xfId="0" applyFont="1" applyFill="1" applyAlignment="1" applyProtection="1">
      <alignment horizontal="center" vertical="top"/>
      <protection locked="0"/>
    </xf>
    <xf numFmtId="0" fontId="22" fillId="2" borderId="19" xfId="0" applyFont="1" applyFill="1" applyBorder="1" applyAlignment="1" applyProtection="1">
      <alignment horizontal="center" vertical="top"/>
      <protection locked="0"/>
    </xf>
    <xf numFmtId="0" fontId="5" fillId="2" borderId="34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27" xfId="0" applyFont="1" applyFill="1" applyBorder="1" applyAlignment="1" applyProtection="1">
      <alignment horizontal="center" vertical="top"/>
      <protection locked="0"/>
    </xf>
    <xf numFmtId="0" fontId="16" fillId="11" borderId="26" xfId="0" applyFont="1" applyFill="1" applyBorder="1" applyAlignment="1" applyProtection="1">
      <alignment horizontal="left" vertical="center"/>
      <protection locked="0"/>
    </xf>
    <xf numFmtId="0" fontId="16" fillId="11" borderId="2" xfId="0" applyFont="1" applyFill="1" applyBorder="1" applyAlignment="1" applyProtection="1">
      <alignment horizontal="left" vertical="center"/>
      <protection locked="0"/>
    </xf>
    <xf numFmtId="0" fontId="12" fillId="5" borderId="2" xfId="0" applyFont="1" applyFill="1" applyBorder="1" applyAlignment="1" applyProtection="1">
      <alignment horizontal="center" vertical="center" wrapText="1"/>
      <protection locked="0"/>
    </xf>
    <xf numFmtId="0" fontId="12" fillId="5" borderId="24" xfId="0" applyFont="1" applyFill="1" applyBorder="1" applyAlignment="1" applyProtection="1">
      <alignment horizontal="center" vertical="center" wrapText="1"/>
      <protection locked="0"/>
    </xf>
    <xf numFmtId="0" fontId="16" fillId="11" borderId="26" xfId="0" applyFont="1" applyFill="1" applyBorder="1" applyAlignment="1" applyProtection="1">
      <alignment horizontal="center" vertical="center"/>
      <protection locked="0"/>
    </xf>
    <xf numFmtId="0" fontId="16" fillId="11" borderId="2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top" wrapText="1"/>
      <protection locked="0"/>
    </xf>
    <xf numFmtId="0" fontId="3" fillId="4" borderId="24" xfId="0" applyFont="1" applyFill="1" applyBorder="1" applyAlignment="1" applyProtection="1">
      <alignment horizontal="center" vertical="top" wrapText="1"/>
      <protection locked="0"/>
    </xf>
    <xf numFmtId="0" fontId="16" fillId="11" borderId="25" xfId="0" applyFont="1" applyFill="1" applyBorder="1" applyAlignment="1" applyProtection="1">
      <alignment horizontal="left" vertical="center"/>
      <protection locked="0"/>
    </xf>
    <xf numFmtId="0" fontId="16" fillId="11" borderId="5" xfId="0" applyFont="1" applyFill="1" applyBorder="1" applyAlignment="1" applyProtection="1">
      <alignment horizontal="left" vertical="center"/>
      <protection locked="0"/>
    </xf>
    <xf numFmtId="0" fontId="16" fillId="11" borderId="4" xfId="0" applyFont="1" applyFill="1" applyBorder="1" applyAlignment="1" applyProtection="1">
      <alignment horizontal="left" vertical="center"/>
      <protection locked="0"/>
    </xf>
    <xf numFmtId="0" fontId="18" fillId="2" borderId="15" xfId="0" applyFont="1" applyFill="1" applyBorder="1" applyAlignment="1">
      <alignment horizontal="center" vertical="top"/>
    </xf>
    <xf numFmtId="0" fontId="18" fillId="2" borderId="16" xfId="0" applyFont="1" applyFill="1" applyBorder="1" applyAlignment="1">
      <alignment horizontal="center" vertical="top"/>
    </xf>
    <xf numFmtId="0" fontId="18" fillId="2" borderId="17" xfId="0" applyFont="1" applyFill="1" applyBorder="1" applyAlignment="1">
      <alignment horizontal="center" vertical="top"/>
    </xf>
    <xf numFmtId="0" fontId="18" fillId="2" borderId="18" xfId="0" applyFont="1" applyFill="1" applyBorder="1" applyAlignment="1">
      <alignment horizontal="center" vertical="top"/>
    </xf>
    <xf numFmtId="0" fontId="18" fillId="2" borderId="0" xfId="0" applyFont="1" applyFill="1" applyAlignment="1">
      <alignment horizontal="center" vertical="top"/>
    </xf>
    <xf numFmtId="0" fontId="18" fillId="2" borderId="19" xfId="0" applyFont="1" applyFill="1" applyBorder="1" applyAlignment="1">
      <alignment horizontal="center" vertical="top"/>
    </xf>
    <xf numFmtId="0" fontId="19" fillId="2" borderId="18" xfId="0" applyFont="1" applyFill="1" applyBorder="1" applyAlignment="1">
      <alignment horizontal="center" vertical="top"/>
    </xf>
    <xf numFmtId="0" fontId="19" fillId="2" borderId="0" xfId="0" applyFont="1" applyFill="1" applyAlignment="1">
      <alignment horizontal="center" vertical="top"/>
    </xf>
    <xf numFmtId="0" fontId="19" fillId="2" borderId="19" xfId="0" applyFont="1" applyFill="1" applyBorder="1" applyAlignment="1">
      <alignment horizontal="center" vertical="top"/>
    </xf>
    <xf numFmtId="0" fontId="20" fillId="2" borderId="34" xfId="0" applyFont="1" applyFill="1" applyBorder="1" applyAlignment="1">
      <alignment horizontal="center" vertical="top"/>
    </xf>
    <xf numFmtId="0" fontId="20" fillId="2" borderId="6" xfId="0" applyFont="1" applyFill="1" applyBorder="1" applyAlignment="1">
      <alignment horizontal="center" vertical="top"/>
    </xf>
    <xf numFmtId="0" fontId="20" fillId="2" borderId="13" xfId="0" applyFont="1" applyFill="1" applyBorder="1" applyAlignment="1">
      <alignment horizontal="center" vertical="top"/>
    </xf>
    <xf numFmtId="0" fontId="20" fillId="2" borderId="27" xfId="0" applyFont="1" applyFill="1" applyBorder="1" applyAlignment="1">
      <alignment horizontal="center" vertical="top"/>
    </xf>
    <xf numFmtId="0" fontId="20" fillId="4" borderId="2" xfId="0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21" fillId="4" borderId="3" xfId="0" applyFont="1" applyFill="1" applyBorder="1" applyAlignment="1" applyProtection="1">
      <alignment horizontal="center" vertical="center"/>
      <protection locked="0"/>
    </xf>
    <xf numFmtId="0" fontId="21" fillId="4" borderId="4" xfId="0" applyFont="1" applyFill="1" applyBorder="1" applyAlignment="1" applyProtection="1">
      <alignment horizontal="center" vertical="center"/>
      <protection locked="0"/>
    </xf>
    <xf numFmtId="0" fontId="21" fillId="0" borderId="2" xfId="0" applyFont="1" applyBorder="1" applyAlignment="1">
      <alignment horizontal="center" vertical="center"/>
    </xf>
    <xf numFmtId="17" fontId="21" fillId="0" borderId="3" xfId="0" applyNumberFormat="1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6" fillId="3" borderId="26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24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3" fillId="18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12" fillId="12" borderId="9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Alignment="1" applyProtection="1">
      <alignment horizontal="center" vertical="center" wrapText="1"/>
      <protection locked="0"/>
    </xf>
    <xf numFmtId="0" fontId="12" fillId="12" borderId="1" xfId="0" applyFont="1" applyFill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6" fillId="3" borderId="33" xfId="0" applyFont="1" applyFill="1" applyBorder="1" applyAlignment="1" applyProtection="1">
      <alignment horizontal="center" vertical="center" wrapText="1"/>
      <protection locked="0"/>
    </xf>
    <xf numFmtId="0" fontId="16" fillId="3" borderId="10" xfId="0" applyFont="1" applyFill="1" applyBorder="1" applyAlignment="1" applyProtection="1">
      <alignment horizontal="center" vertical="center" wrapText="1"/>
      <protection locked="0"/>
    </xf>
    <xf numFmtId="0" fontId="16" fillId="3" borderId="18" xfId="0" applyFont="1" applyFill="1" applyBorder="1" applyAlignment="1" applyProtection="1">
      <alignment horizontal="center" vertical="center" wrapText="1"/>
      <protection locked="0"/>
    </xf>
    <xf numFmtId="0" fontId="16" fillId="3" borderId="12" xfId="0" applyFont="1" applyFill="1" applyBorder="1" applyAlignment="1" applyProtection="1">
      <alignment horizontal="center" vertical="center" wrapText="1"/>
      <protection locked="0"/>
    </xf>
    <xf numFmtId="0" fontId="16" fillId="3" borderId="23" xfId="0" applyFont="1" applyFill="1" applyBorder="1" applyAlignment="1" applyProtection="1">
      <alignment horizontal="center" vertical="center" wrapText="1"/>
      <protection locked="0"/>
    </xf>
    <xf numFmtId="0" fontId="16" fillId="3" borderId="14" xfId="0" applyFont="1" applyFill="1" applyBorder="1" applyAlignment="1" applyProtection="1">
      <alignment horizontal="center" vertical="center" wrapText="1"/>
      <protection locked="0"/>
    </xf>
    <xf numFmtId="0" fontId="17" fillId="15" borderId="3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42" fillId="6" borderId="25" xfId="0" applyFont="1" applyFill="1" applyBorder="1" applyAlignment="1">
      <alignment horizontal="left" vertical="center" wrapText="1"/>
    </xf>
    <xf numFmtId="0" fontId="42" fillId="6" borderId="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6" borderId="26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43" fillId="6" borderId="25" xfId="0" applyFont="1" applyFill="1" applyBorder="1" applyAlignment="1">
      <alignment horizontal="left" vertical="center" wrapText="1"/>
    </xf>
    <xf numFmtId="0" fontId="43" fillId="6" borderId="4" xfId="0" applyFont="1" applyFill="1" applyBorder="1" applyAlignment="1">
      <alignment horizontal="left" vertical="center" wrapText="1"/>
    </xf>
    <xf numFmtId="0" fontId="42" fillId="2" borderId="26" xfId="0" applyFont="1" applyFill="1" applyBorder="1" applyAlignment="1">
      <alignment horizontal="left" wrapText="1"/>
    </xf>
    <xf numFmtId="0" fontId="42" fillId="2" borderId="2" xfId="0" applyFont="1" applyFill="1" applyBorder="1" applyAlignment="1">
      <alignment horizontal="left" wrapText="1"/>
    </xf>
    <xf numFmtId="0" fontId="7" fillId="2" borderId="25" xfId="0" applyFont="1" applyFill="1" applyBorder="1" applyAlignment="1" applyProtection="1">
      <alignment horizontal="center" wrapText="1"/>
      <protection locked="0"/>
    </xf>
    <xf numFmtId="0" fontId="7" fillId="2" borderId="5" xfId="0" applyFont="1" applyFill="1" applyBorder="1" applyAlignment="1" applyProtection="1">
      <alignment horizontal="center" wrapText="1"/>
      <protection locked="0"/>
    </xf>
    <xf numFmtId="0" fontId="7" fillId="2" borderId="4" xfId="0" applyFont="1" applyFill="1" applyBorder="1" applyAlignment="1" applyProtection="1">
      <alignment horizontal="center" wrapText="1"/>
      <protection locked="0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42" fillId="7" borderId="25" xfId="0" applyFont="1" applyFill="1" applyBorder="1" applyAlignment="1">
      <alignment horizontal="left" vertical="center" wrapText="1"/>
    </xf>
    <xf numFmtId="0" fontId="42" fillId="7" borderId="4" xfId="0" applyFont="1" applyFill="1" applyBorder="1" applyAlignment="1">
      <alignment horizontal="left" vertical="center" wrapText="1"/>
    </xf>
    <xf numFmtId="0" fontId="7" fillId="7" borderId="25" xfId="0" applyFont="1" applyFill="1" applyBorder="1" applyAlignment="1" applyProtection="1">
      <alignment horizontal="center" wrapText="1"/>
      <protection locked="0"/>
    </xf>
    <xf numFmtId="0" fontId="7" fillId="7" borderId="5" xfId="0" applyFont="1" applyFill="1" applyBorder="1" applyAlignment="1" applyProtection="1">
      <alignment horizontal="center" wrapText="1"/>
      <protection locked="0"/>
    </xf>
    <xf numFmtId="0" fontId="7" fillId="7" borderId="29" xfId="0" applyFont="1" applyFill="1" applyBorder="1" applyAlignment="1" applyProtection="1">
      <alignment horizontal="center" wrapText="1"/>
      <protection locked="0"/>
    </xf>
    <xf numFmtId="0" fontId="42" fillId="2" borderId="25" xfId="0" applyFont="1" applyFill="1" applyBorder="1" applyAlignment="1">
      <alignment horizontal="left" wrapText="1"/>
    </xf>
    <xf numFmtId="0" fontId="42" fillId="2" borderId="4" xfId="0" applyFont="1" applyFill="1" applyBorder="1" applyAlignment="1">
      <alignment horizontal="left" wrapText="1"/>
    </xf>
    <xf numFmtId="0" fontId="17" fillId="7" borderId="26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7" fillId="9" borderId="26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42" fillId="9" borderId="25" xfId="0" applyFont="1" applyFill="1" applyBorder="1" applyAlignment="1">
      <alignment horizontal="left" vertical="center" wrapText="1"/>
    </xf>
    <xf numFmtId="0" fontId="42" fillId="9" borderId="4" xfId="0" applyFont="1" applyFill="1" applyBorder="1" applyAlignment="1">
      <alignment horizontal="left" vertical="center" wrapText="1"/>
    </xf>
    <xf numFmtId="0" fontId="7" fillId="9" borderId="25" xfId="0" applyFont="1" applyFill="1" applyBorder="1" applyAlignment="1" applyProtection="1">
      <alignment horizontal="center" vertical="center" wrapText="1"/>
      <protection locked="0"/>
    </xf>
    <xf numFmtId="0" fontId="7" fillId="9" borderId="5" xfId="0" applyFont="1" applyFill="1" applyBorder="1" applyAlignment="1" applyProtection="1">
      <alignment horizontal="center" vertical="center" wrapText="1"/>
      <protection locked="0"/>
    </xf>
    <xf numFmtId="0" fontId="4" fillId="10" borderId="25" xfId="0" applyFont="1" applyFill="1" applyBorder="1" applyAlignment="1">
      <alignment vertical="center"/>
    </xf>
    <xf numFmtId="0" fontId="4" fillId="10" borderId="4" xfId="0" applyFont="1" applyFill="1" applyBorder="1" applyAlignment="1">
      <alignment vertical="center"/>
    </xf>
    <xf numFmtId="0" fontId="42" fillId="10" borderId="25" xfId="0" applyFont="1" applyFill="1" applyBorder="1" applyAlignment="1">
      <alignment horizontal="left" vertical="center" wrapText="1"/>
    </xf>
    <xf numFmtId="0" fontId="42" fillId="10" borderId="4" xfId="0" applyFont="1" applyFill="1" applyBorder="1" applyAlignment="1">
      <alignment horizontal="left" vertical="center" wrapText="1"/>
    </xf>
    <xf numFmtId="0" fontId="7" fillId="10" borderId="25" xfId="0" applyFont="1" applyFill="1" applyBorder="1" applyAlignment="1" applyProtection="1">
      <alignment horizontal="center" vertical="center" wrapText="1"/>
      <protection locked="0"/>
    </xf>
    <xf numFmtId="0" fontId="7" fillId="10" borderId="5" xfId="0" applyFont="1" applyFill="1" applyBorder="1" applyAlignment="1" applyProtection="1">
      <alignment horizontal="center" vertical="center" wrapText="1"/>
      <protection locked="0"/>
    </xf>
    <xf numFmtId="0" fontId="3" fillId="11" borderId="26" xfId="0" applyFont="1" applyFill="1" applyBorder="1" applyAlignment="1">
      <alignment horizontal="left" vertical="center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2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39" fillId="0" borderId="2" xfId="0" applyFont="1" applyBorder="1" applyAlignment="1" applyProtection="1">
      <alignment horizontal="center" vertical="center" wrapText="1"/>
      <protection locked="0"/>
    </xf>
    <xf numFmtId="0" fontId="3" fillId="11" borderId="26" xfId="0" applyFont="1" applyFill="1" applyBorder="1" applyAlignment="1">
      <alignment horizontal="left" vertical="center" wrapText="1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29" fillId="11" borderId="26" xfId="0" applyFont="1" applyFill="1" applyBorder="1" applyAlignment="1">
      <alignment horizontal="left" vertical="center" wrapText="1"/>
    </xf>
    <xf numFmtId="0" fontId="3" fillId="19" borderId="26" xfId="0" applyFont="1" applyFill="1" applyBorder="1" applyAlignment="1">
      <alignment horizontal="left" vertical="center"/>
    </xf>
    <xf numFmtId="0" fontId="3" fillId="19" borderId="26" xfId="0" applyFont="1" applyFill="1" applyBorder="1" applyAlignment="1">
      <alignment horizontal="left"/>
    </xf>
    <xf numFmtId="0" fontId="3" fillId="19" borderId="26" xfId="0" applyFont="1" applyFill="1" applyBorder="1" applyAlignment="1">
      <alignment horizontal="left" vertical="center" wrapText="1"/>
    </xf>
    <xf numFmtId="0" fontId="29" fillId="19" borderId="26" xfId="0" applyFont="1" applyFill="1" applyBorder="1" applyAlignment="1">
      <alignment horizontal="left"/>
    </xf>
    <xf numFmtId="0" fontId="3" fillId="16" borderId="26" xfId="0" applyFont="1" applyFill="1" applyBorder="1" applyAlignment="1">
      <alignment horizontal="left"/>
    </xf>
    <xf numFmtId="0" fontId="3" fillId="14" borderId="26" xfId="0" applyFont="1" applyFill="1" applyBorder="1" applyAlignment="1">
      <alignment horizontal="left"/>
    </xf>
    <xf numFmtId="0" fontId="29" fillId="16" borderId="26" xfId="0" applyFont="1" applyFill="1" applyBorder="1" applyAlignment="1">
      <alignment horizontal="left"/>
    </xf>
    <xf numFmtId="0" fontId="3" fillId="14" borderId="26" xfId="0" applyFont="1" applyFill="1" applyBorder="1" applyAlignment="1">
      <alignment horizontal="left" wrapText="1"/>
    </xf>
    <xf numFmtId="0" fontId="3" fillId="14" borderId="26" xfId="0" applyFont="1" applyFill="1" applyBorder="1" applyAlignment="1">
      <alignment vertical="top"/>
    </xf>
    <xf numFmtId="0" fontId="3" fillId="23" borderId="26" xfId="0" applyFont="1" applyFill="1" applyBorder="1" applyAlignment="1">
      <alignment horizontal="left" vertical="top"/>
    </xf>
    <xf numFmtId="0" fontId="3" fillId="14" borderId="26" xfId="0" applyFont="1" applyFill="1" applyBorder="1" applyAlignment="1">
      <alignment vertical="top" wrapText="1"/>
    </xf>
    <xf numFmtId="0" fontId="3" fillId="23" borderId="26" xfId="0" applyFont="1" applyFill="1" applyBorder="1" applyAlignment="1">
      <alignment horizontal="left" vertical="top" wrapText="1"/>
    </xf>
    <xf numFmtId="0" fontId="3" fillId="23" borderId="10" xfId="0" applyFont="1" applyFill="1" applyBorder="1" applyAlignment="1">
      <alignment horizontal="left" vertical="center" wrapText="1"/>
    </xf>
    <xf numFmtId="0" fontId="3" fillId="23" borderId="14" xfId="0" applyFont="1" applyFill="1" applyBorder="1" applyAlignment="1">
      <alignment horizontal="left" vertical="center" wrapText="1"/>
    </xf>
    <xf numFmtId="0" fontId="3" fillId="21" borderId="26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left" vertical="top" wrapText="1"/>
    </xf>
    <xf numFmtId="0" fontId="3" fillId="23" borderId="14" xfId="0" applyFont="1" applyFill="1" applyBorder="1" applyAlignment="1">
      <alignment horizontal="left" vertical="top" wrapText="1"/>
    </xf>
    <xf numFmtId="0" fontId="3" fillId="22" borderId="26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23" borderId="14" xfId="0" applyFont="1" applyFill="1" applyBorder="1" applyAlignment="1">
      <alignment horizontal="center" vertical="center" wrapText="1"/>
    </xf>
    <xf numFmtId="0" fontId="3" fillId="10" borderId="35" xfId="0" applyFont="1" applyFill="1" applyBorder="1" applyAlignment="1">
      <alignment horizontal="center" vertical="center" wrapText="1"/>
    </xf>
    <xf numFmtId="0" fontId="3" fillId="10" borderId="34" xfId="0" applyFont="1" applyFill="1" applyBorder="1" applyAlignment="1">
      <alignment horizontal="center" vertical="center" wrapText="1"/>
    </xf>
    <xf numFmtId="0" fontId="3" fillId="18" borderId="2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right" vertical="center" wrapText="1"/>
    </xf>
    <xf numFmtId="0" fontId="6" fillId="11" borderId="2" xfId="0" applyFont="1" applyFill="1" applyBorder="1" applyAlignment="1">
      <alignment horizontal="right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/>
    </xf>
  </cellXfs>
  <cellStyles count="13">
    <cellStyle name="Ctx_Hyperlink" xfId="2"/>
    <cellStyle name="Excel Built-in Normal" xfId="3"/>
    <cellStyle name="Hyperlink 2" xfId="4"/>
    <cellStyle name="Hyperlink 2 2" xfId="5"/>
    <cellStyle name="Normal" xfId="0" builtinId="0"/>
    <cellStyle name="Normal 2" xfId="6"/>
    <cellStyle name="Normal 2 2" xfId="7"/>
    <cellStyle name="Normal 2 2 2" xfId="8"/>
    <cellStyle name="Normal 2 3 2" xfId="9"/>
    <cellStyle name="Normal 3" xfId="10"/>
    <cellStyle name="Normal 4" xfId="11"/>
    <cellStyle name="Percent" xfId="1" builtinId="5"/>
    <cellStyle name="YELLOW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36977</xdr:colOff>
      <xdr:row>0</xdr:row>
      <xdr:rowOff>152400</xdr:rowOff>
    </xdr:from>
    <xdr:to>
      <xdr:col>7</xdr:col>
      <xdr:colOff>840438</xdr:colOff>
      <xdr:row>3</xdr:row>
      <xdr:rowOff>120462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pSpPr/>
      </xdr:nvGrpSpPr>
      <xdr:grpSpPr>
        <a:xfrm>
          <a:off x="646577" y="152400"/>
          <a:ext cx="8280586" cy="568137"/>
          <a:chOff x="1284146" y="108897"/>
          <a:chExt cx="16014684" cy="1349734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xmlns="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1284146" y="108897"/>
            <a:ext cx="1419825" cy="1349734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xmlns="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16418239" y="199411"/>
            <a:ext cx="880591" cy="117380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234864</xdr:rowOff>
    </xdr:from>
    <xdr:to>
      <xdr:col>19</xdr:col>
      <xdr:colOff>0</xdr:colOff>
      <xdr:row>3</xdr:row>
      <xdr:rowOff>276544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GrpSpPr/>
      </xdr:nvGrpSpPr>
      <xdr:grpSpPr>
        <a:xfrm>
          <a:off x="0" y="234864"/>
          <a:ext cx="19783425" cy="1079905"/>
          <a:chOff x="1252093" y="-208825"/>
          <a:chExt cx="8986772" cy="118234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xmlns="" id="{00000000-0008-0000-0D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1252093" y="-143595"/>
            <a:ext cx="424468" cy="1056778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9800282" y="-208825"/>
            <a:ext cx="438583" cy="118234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234864</xdr:rowOff>
    </xdr:from>
    <xdr:to>
      <xdr:col>19</xdr:col>
      <xdr:colOff>0</xdr:colOff>
      <xdr:row>3</xdr:row>
      <xdr:rowOff>276544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GrpSpPr/>
      </xdr:nvGrpSpPr>
      <xdr:grpSpPr>
        <a:xfrm>
          <a:off x="0" y="234864"/>
          <a:ext cx="19783425" cy="1079905"/>
          <a:chOff x="1252093" y="-208825"/>
          <a:chExt cx="8986772" cy="118234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1252093" y="-143595"/>
            <a:ext cx="424468" cy="1056778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xmlns="" id="{00000000-0008-0000-0D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9800282" y="-208825"/>
            <a:ext cx="438583" cy="1182344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234864</xdr:rowOff>
    </xdr:from>
    <xdr:to>
      <xdr:col>19</xdr:col>
      <xdr:colOff>0</xdr:colOff>
      <xdr:row>3</xdr:row>
      <xdr:rowOff>276544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18354AAE-4E0A-4F3C-BFB1-5B8E813F870D}"/>
            </a:ext>
          </a:extLst>
        </xdr:cNvPr>
        <xdr:cNvGrpSpPr/>
      </xdr:nvGrpSpPr>
      <xdr:grpSpPr>
        <a:xfrm>
          <a:off x="0" y="234864"/>
          <a:ext cx="19777364" cy="1080771"/>
          <a:chOff x="1252093" y="-208825"/>
          <a:chExt cx="8986772" cy="118234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xmlns="" id="{CD41682A-AB55-9EEA-7484-CEE6EF6B3C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1252093" y="-143595"/>
            <a:ext cx="424468" cy="1056778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xmlns="" id="{705FFD70-3950-076C-4F85-FE015D2A4B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9800282" y="-208825"/>
            <a:ext cx="438583" cy="118234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234864</xdr:rowOff>
    </xdr:from>
    <xdr:to>
      <xdr:col>19</xdr:col>
      <xdr:colOff>0</xdr:colOff>
      <xdr:row>3</xdr:row>
      <xdr:rowOff>276544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xmlns="" id="{E6112B61-C40C-492A-A045-DA6F6437695B}"/>
            </a:ext>
          </a:extLst>
        </xdr:cNvPr>
        <xdr:cNvGrpSpPr/>
      </xdr:nvGrpSpPr>
      <xdr:grpSpPr>
        <a:xfrm>
          <a:off x="0" y="234864"/>
          <a:ext cx="19777364" cy="1080771"/>
          <a:chOff x="1252093" y="-208825"/>
          <a:chExt cx="8986772" cy="118234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xmlns="" id="{011D4F91-D0B5-5192-383C-14C928F627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1252093" y="-143595"/>
            <a:ext cx="424468" cy="1056778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xmlns="" id="{C9FB5DB4-AAA5-C62E-1707-30F53ADE2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tretch>
            <a:fillRect/>
          </a:stretch>
        </xdr:blipFill>
        <xdr:spPr>
          <a:xfrm>
            <a:off x="9800282" y="-208825"/>
            <a:ext cx="438583" cy="1182344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BSKPC105/Downloads/Users/Lenovo/AppData/Local/Temp/Users/Krishna/Desktop/Updated%20National%20RBSK%20MPR%20Forma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reening"/>
      <sheetName val="Service access"/>
      <sheetName val="Lists3"/>
      <sheetName val="Cutomize"/>
      <sheetName val="Sheet1"/>
    </sheetNames>
    <sheetDataSet>
      <sheetData sheetId="0"/>
      <sheetData sheetId="1"/>
      <sheetData sheetId="2">
        <row r="4">
          <cell r="B4" t="str">
            <v>_Select State_</v>
          </cell>
          <cell r="AN4" t="str">
            <v>_Select Month_</v>
          </cell>
          <cell r="AR4" t="str">
            <v>Select No of Districts</v>
          </cell>
        </row>
        <row r="5">
          <cell r="B5" t="str">
            <v>AndhraPradesh</v>
          </cell>
          <cell r="AN5" t="str">
            <v>January</v>
          </cell>
          <cell r="AR5">
            <v>1</v>
          </cell>
        </row>
        <row r="6">
          <cell r="B6" t="str">
            <v>ANIslands</v>
          </cell>
          <cell r="AN6" t="str">
            <v>February</v>
          </cell>
          <cell r="AR6">
            <v>2</v>
          </cell>
        </row>
        <row r="7">
          <cell r="B7" t="str">
            <v>ArunachalPradesh</v>
          </cell>
          <cell r="AN7" t="str">
            <v>March</v>
          </cell>
          <cell r="AR7">
            <v>3</v>
          </cell>
        </row>
        <row r="8">
          <cell r="B8" t="str">
            <v>Assam</v>
          </cell>
          <cell r="AN8" t="str">
            <v>April</v>
          </cell>
          <cell r="AR8">
            <v>4</v>
          </cell>
        </row>
        <row r="9">
          <cell r="B9" t="str">
            <v>Bihar</v>
          </cell>
          <cell r="AN9" t="str">
            <v>May</v>
          </cell>
          <cell r="AR9">
            <v>5</v>
          </cell>
        </row>
        <row r="10">
          <cell r="B10" t="str">
            <v>Chandigarh</v>
          </cell>
          <cell r="AN10" t="str">
            <v>June</v>
          </cell>
          <cell r="AR10">
            <v>6</v>
          </cell>
        </row>
        <row r="11">
          <cell r="B11" t="str">
            <v>Chhattisgarh</v>
          </cell>
          <cell r="AN11" t="str">
            <v>July</v>
          </cell>
          <cell r="AR11">
            <v>7</v>
          </cell>
        </row>
        <row r="12">
          <cell r="B12" t="str">
            <v>DadraNagarHaveli</v>
          </cell>
          <cell r="AN12" t="str">
            <v>August</v>
          </cell>
          <cell r="AR12">
            <v>8</v>
          </cell>
        </row>
        <row r="13">
          <cell r="B13" t="str">
            <v>DamanDiu</v>
          </cell>
          <cell r="AN13" t="str">
            <v>September</v>
          </cell>
          <cell r="AR13">
            <v>9</v>
          </cell>
        </row>
        <row r="14">
          <cell r="B14" t="str">
            <v>Delhi</v>
          </cell>
          <cell r="AN14" t="str">
            <v>October</v>
          </cell>
          <cell r="AR14">
            <v>10</v>
          </cell>
        </row>
        <row r="15">
          <cell r="B15" t="str">
            <v>Goa</v>
          </cell>
          <cell r="AN15" t="str">
            <v>November</v>
          </cell>
          <cell r="AR15">
            <v>11</v>
          </cell>
        </row>
        <row r="16">
          <cell r="B16" t="str">
            <v>Gujarat</v>
          </cell>
          <cell r="AN16" t="str">
            <v>December</v>
          </cell>
          <cell r="AR16">
            <v>12</v>
          </cell>
        </row>
        <row r="17">
          <cell r="B17" t="str">
            <v>Haryana</v>
          </cell>
          <cell r="AR17">
            <v>13</v>
          </cell>
        </row>
        <row r="18">
          <cell r="B18" t="str">
            <v>HimachalPradesh</v>
          </cell>
          <cell r="AR18">
            <v>14</v>
          </cell>
        </row>
        <row r="19">
          <cell r="B19" t="str">
            <v>JammuKashmir</v>
          </cell>
          <cell r="AR19">
            <v>15</v>
          </cell>
        </row>
        <row r="20">
          <cell r="B20" t="str">
            <v>Jharkhand</v>
          </cell>
          <cell r="AR20">
            <v>16</v>
          </cell>
        </row>
        <row r="21">
          <cell r="B21" t="str">
            <v>Karnataka</v>
          </cell>
          <cell r="AR21">
            <v>17</v>
          </cell>
        </row>
        <row r="22">
          <cell r="B22" t="str">
            <v>Kerala</v>
          </cell>
          <cell r="AR22">
            <v>18</v>
          </cell>
        </row>
        <row r="23">
          <cell r="B23" t="str">
            <v>Lakshadweep</v>
          </cell>
          <cell r="AR23">
            <v>19</v>
          </cell>
        </row>
        <row r="24">
          <cell r="B24" t="str">
            <v>MadhyaPradesh</v>
          </cell>
          <cell r="AR24">
            <v>20</v>
          </cell>
        </row>
        <row r="25">
          <cell r="B25" t="str">
            <v>Maharashtra</v>
          </cell>
          <cell r="AR25">
            <v>21</v>
          </cell>
        </row>
        <row r="26">
          <cell r="B26" t="str">
            <v>Manipur</v>
          </cell>
          <cell r="AR26">
            <v>22</v>
          </cell>
        </row>
        <row r="27">
          <cell r="B27" t="str">
            <v>Meghalaya</v>
          </cell>
          <cell r="AR27">
            <v>23</v>
          </cell>
        </row>
        <row r="28">
          <cell r="B28" t="str">
            <v>Mizoram</v>
          </cell>
          <cell r="AR28">
            <v>24</v>
          </cell>
        </row>
        <row r="29">
          <cell r="B29" t="str">
            <v>Nagaland</v>
          </cell>
          <cell r="AR29">
            <v>25</v>
          </cell>
        </row>
        <row r="30">
          <cell r="B30" t="str">
            <v>Odisha</v>
          </cell>
          <cell r="AR30">
            <v>26</v>
          </cell>
        </row>
        <row r="31">
          <cell r="B31" t="str">
            <v>Puducherry</v>
          </cell>
          <cell r="AR31">
            <v>27</v>
          </cell>
        </row>
        <row r="32">
          <cell r="B32" t="str">
            <v>Punjab</v>
          </cell>
          <cell r="AR32">
            <v>28</v>
          </cell>
        </row>
        <row r="33">
          <cell r="B33" t="str">
            <v>Rajasthan</v>
          </cell>
          <cell r="AR33">
            <v>29</v>
          </cell>
        </row>
        <row r="34">
          <cell r="B34" t="str">
            <v>Sikkim</v>
          </cell>
          <cell r="AR34">
            <v>30</v>
          </cell>
        </row>
        <row r="35">
          <cell r="B35" t="str">
            <v>TamilNadu</v>
          </cell>
          <cell r="AR35">
            <v>31</v>
          </cell>
        </row>
        <row r="36">
          <cell r="B36" t="str">
            <v>Telangana</v>
          </cell>
          <cell r="AR36">
            <v>32</v>
          </cell>
        </row>
        <row r="37">
          <cell r="B37" t="str">
            <v>Tripura</v>
          </cell>
          <cell r="AR37">
            <v>33</v>
          </cell>
        </row>
        <row r="38">
          <cell r="B38" t="str">
            <v>UP</v>
          </cell>
          <cell r="AR38">
            <v>34</v>
          </cell>
        </row>
        <row r="39">
          <cell r="B39" t="str">
            <v>Uttarakhand</v>
          </cell>
          <cell r="AR39">
            <v>35</v>
          </cell>
        </row>
        <row r="40">
          <cell r="B40" t="str">
            <v>WestBengal</v>
          </cell>
          <cell r="AR40">
            <v>36</v>
          </cell>
        </row>
        <row r="41">
          <cell r="AR41">
            <v>37</v>
          </cell>
        </row>
        <row r="42">
          <cell r="AR42">
            <v>38</v>
          </cell>
        </row>
        <row r="43">
          <cell r="AR43">
            <v>39</v>
          </cell>
        </row>
        <row r="44">
          <cell r="AR44">
            <v>40</v>
          </cell>
        </row>
        <row r="45">
          <cell r="AR45">
            <v>41</v>
          </cell>
        </row>
        <row r="46">
          <cell r="AR46">
            <v>42</v>
          </cell>
        </row>
        <row r="47">
          <cell r="AR47">
            <v>43</v>
          </cell>
        </row>
        <row r="48">
          <cell r="AR48">
            <v>44</v>
          </cell>
        </row>
        <row r="49">
          <cell r="AR49">
            <v>45</v>
          </cell>
        </row>
        <row r="50">
          <cell r="AR50">
            <v>46</v>
          </cell>
        </row>
        <row r="51">
          <cell r="AR51">
            <v>47</v>
          </cell>
        </row>
        <row r="52">
          <cell r="AR52">
            <v>48</v>
          </cell>
        </row>
        <row r="53">
          <cell r="AR53">
            <v>49</v>
          </cell>
        </row>
        <row r="54">
          <cell r="AR54">
            <v>50</v>
          </cell>
        </row>
        <row r="55">
          <cell r="AR55">
            <v>51</v>
          </cell>
        </row>
        <row r="56">
          <cell r="AR56">
            <v>52</v>
          </cell>
        </row>
        <row r="57">
          <cell r="AR57">
            <v>53</v>
          </cell>
        </row>
        <row r="58">
          <cell r="AR58">
            <v>54</v>
          </cell>
        </row>
        <row r="59">
          <cell r="AR59">
            <v>55</v>
          </cell>
        </row>
        <row r="60">
          <cell r="AR60">
            <v>56</v>
          </cell>
        </row>
        <row r="61">
          <cell r="AR61">
            <v>57</v>
          </cell>
        </row>
        <row r="62">
          <cell r="AR62">
            <v>58</v>
          </cell>
        </row>
        <row r="63">
          <cell r="AR63">
            <v>59</v>
          </cell>
        </row>
        <row r="64">
          <cell r="AR64">
            <v>60</v>
          </cell>
        </row>
        <row r="65">
          <cell r="AR65">
            <v>61</v>
          </cell>
        </row>
        <row r="66">
          <cell r="AR66">
            <v>62</v>
          </cell>
        </row>
        <row r="67">
          <cell r="AR67">
            <v>63</v>
          </cell>
        </row>
        <row r="68">
          <cell r="AR68">
            <v>64</v>
          </cell>
        </row>
        <row r="69">
          <cell r="AR69">
            <v>65</v>
          </cell>
        </row>
        <row r="70">
          <cell r="AR70">
            <v>66</v>
          </cell>
        </row>
        <row r="71">
          <cell r="AR71">
            <v>67</v>
          </cell>
        </row>
        <row r="72">
          <cell r="AR72">
            <v>68</v>
          </cell>
        </row>
        <row r="73">
          <cell r="AR73">
            <v>69</v>
          </cell>
        </row>
        <row r="74">
          <cell r="AR74">
            <v>70</v>
          </cell>
        </row>
        <row r="75">
          <cell r="AR75">
            <v>71</v>
          </cell>
        </row>
        <row r="76">
          <cell r="AR76">
            <v>72</v>
          </cell>
        </row>
        <row r="77">
          <cell r="AR77">
            <v>73</v>
          </cell>
        </row>
        <row r="78">
          <cell r="AR78">
            <v>74</v>
          </cell>
        </row>
        <row r="79">
          <cell r="AR79">
            <v>75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Z720"/>
  <sheetViews>
    <sheetView showGridLines="0" workbookViewId="0">
      <selection activeCell="AZ12" sqref="AZ12"/>
    </sheetView>
  </sheetViews>
  <sheetFormatPr defaultColWidth="9.140625" defaultRowHeight="15"/>
  <cols>
    <col min="1" max="1" width="9.140625" style="39"/>
    <col min="2" max="2" width="19.140625" style="73" bestFit="1" customWidth="1"/>
    <col min="3" max="3" width="23" style="73" customWidth="1"/>
    <col min="4" max="4" width="25.7109375" style="73" customWidth="1"/>
    <col min="5" max="5" width="12.7109375" style="73" bestFit="1" customWidth="1"/>
    <col min="6" max="6" width="17.7109375" style="73" customWidth="1"/>
    <col min="7" max="8" width="13.85546875" style="73" customWidth="1"/>
    <col min="9" max="9" width="9.140625" style="68"/>
    <col min="10" max="10" width="9.140625" style="38"/>
    <col min="11" max="11" width="14.85546875" style="38" customWidth="1"/>
    <col min="12" max="12" width="11.42578125" style="38" customWidth="1"/>
    <col min="13" max="13" width="9.140625" style="38"/>
    <col min="16" max="43" width="9.140625" style="39"/>
    <col min="44" max="44" width="19.28515625" style="39" hidden="1" customWidth="1"/>
    <col min="45" max="45" width="28.7109375" style="39" hidden="1" customWidth="1"/>
    <col min="46" max="46" width="24.85546875" style="39" hidden="1" customWidth="1"/>
    <col min="47" max="49" width="9.140625" style="39" hidden="1" customWidth="1"/>
    <col min="50" max="50" width="9.140625" style="39" customWidth="1"/>
    <col min="51" max="51" width="9.140625" style="39"/>
    <col min="52" max="52" width="9.140625" style="39" customWidth="1"/>
    <col min="53" max="16384" width="9.140625" style="39"/>
  </cols>
  <sheetData>
    <row r="1" spans="2:49" ht="15.75">
      <c r="B1" s="217" t="s">
        <v>0</v>
      </c>
      <c r="C1" s="218"/>
      <c r="D1" s="218"/>
      <c r="E1" s="218"/>
      <c r="F1" s="218"/>
      <c r="G1" s="218"/>
      <c r="H1" s="219"/>
      <c r="I1" s="61"/>
      <c r="AS1" s="38" t="s">
        <v>148</v>
      </c>
      <c r="AT1" s="38" t="s">
        <v>114</v>
      </c>
      <c r="AU1" s="38"/>
      <c r="AV1" s="38" t="s">
        <v>148</v>
      </c>
      <c r="AW1" s="38" t="s">
        <v>114</v>
      </c>
    </row>
    <row r="2" spans="2:49" ht="15.75">
      <c r="B2" s="220" t="s">
        <v>1</v>
      </c>
      <c r="C2" s="221"/>
      <c r="D2" s="221"/>
      <c r="E2" s="221"/>
      <c r="F2" s="221"/>
      <c r="G2" s="221"/>
      <c r="H2" s="222"/>
      <c r="I2" s="61"/>
      <c r="AR2" s="38" t="s">
        <v>889</v>
      </c>
      <c r="AS2" s="40" t="s">
        <v>149</v>
      </c>
      <c r="AT2" s="41" t="s">
        <v>150</v>
      </c>
      <c r="AU2" s="38"/>
      <c r="AV2" s="38"/>
      <c r="AW2" s="38">
        <f ca="1">SUM(OFFSET($AS1,MATCH($C5,$AS:$AS,0)-1,1,COUNTIF($AS:$AS,$C5),1))</f>
        <v>0</v>
      </c>
    </row>
    <row r="3" spans="2:49" ht="15.75">
      <c r="B3" s="223" t="s">
        <v>2</v>
      </c>
      <c r="C3" s="224"/>
      <c r="D3" s="224"/>
      <c r="E3" s="224"/>
      <c r="F3" s="224"/>
      <c r="G3" s="224"/>
      <c r="H3" s="225"/>
      <c r="I3" s="62"/>
      <c r="AR3" s="38" t="s">
        <v>149</v>
      </c>
      <c r="AS3" s="40" t="s">
        <v>149</v>
      </c>
      <c r="AT3" s="41" t="s">
        <v>151</v>
      </c>
      <c r="AU3" s="38"/>
      <c r="AV3" s="38"/>
      <c r="AW3" s="38"/>
    </row>
    <row r="4" spans="2:49" ht="24.75" customHeight="1">
      <c r="B4" s="226" t="s">
        <v>84</v>
      </c>
      <c r="C4" s="227"/>
      <c r="D4" s="227"/>
      <c r="E4" s="227"/>
      <c r="F4" s="227"/>
      <c r="G4" s="227"/>
      <c r="H4" s="228"/>
      <c r="I4" s="61"/>
      <c r="AR4" s="38" t="s">
        <v>153</v>
      </c>
      <c r="AS4" s="40" t="s">
        <v>149</v>
      </c>
      <c r="AT4" s="41" t="s">
        <v>152</v>
      </c>
      <c r="AU4" s="38"/>
      <c r="AV4" s="38"/>
      <c r="AW4" s="38"/>
    </row>
    <row r="5" spans="2:49" ht="19.5" customHeight="1">
      <c r="B5" s="63" t="s">
        <v>80</v>
      </c>
      <c r="C5" s="64" t="s">
        <v>308</v>
      </c>
      <c r="D5" s="65" t="s">
        <v>134</v>
      </c>
      <c r="E5" s="66" t="s">
        <v>310</v>
      </c>
      <c r="F5" s="67" t="s">
        <v>894</v>
      </c>
      <c r="G5" s="235"/>
      <c r="H5" s="236"/>
      <c r="AR5" s="38" t="s">
        <v>167</v>
      </c>
      <c r="AS5" s="42" t="s">
        <v>153</v>
      </c>
      <c r="AT5" s="43" t="s">
        <v>154</v>
      </c>
      <c r="AU5" s="38"/>
      <c r="AV5" s="38"/>
      <c r="AW5" s="38"/>
    </row>
    <row r="6" spans="2:49" ht="46.5" customHeight="1">
      <c r="B6" s="69" t="s">
        <v>893</v>
      </c>
      <c r="C6" s="70"/>
      <c r="D6" s="72" t="s">
        <v>3</v>
      </c>
      <c r="E6" s="66"/>
      <c r="F6" s="65" t="s">
        <v>82</v>
      </c>
      <c r="G6" s="235"/>
      <c r="H6" s="236"/>
      <c r="AR6" s="38" t="s">
        <v>189</v>
      </c>
      <c r="AS6" s="42" t="s">
        <v>153</v>
      </c>
      <c r="AT6" s="43" t="s">
        <v>155</v>
      </c>
      <c r="AU6" s="38"/>
      <c r="AV6" s="38"/>
      <c r="AW6" s="38"/>
    </row>
    <row r="7" spans="2:49" ht="34.5" customHeight="1">
      <c r="B7" s="69" t="s">
        <v>901</v>
      </c>
      <c r="C7" s="86" t="s">
        <v>900</v>
      </c>
      <c r="D7" s="65" t="s">
        <v>902</v>
      </c>
      <c r="E7" s="86" t="s">
        <v>895</v>
      </c>
      <c r="F7" s="71" t="s">
        <v>896</v>
      </c>
      <c r="G7" s="86" t="s">
        <v>897</v>
      </c>
      <c r="H7" s="87" t="s">
        <v>899</v>
      </c>
      <c r="AR7" s="38"/>
      <c r="AS7" s="42"/>
      <c r="AT7" s="43"/>
      <c r="AU7" s="38"/>
      <c r="AV7" s="38"/>
      <c r="AW7" s="38"/>
    </row>
    <row r="8" spans="2:49" ht="46.5" customHeight="1">
      <c r="B8" s="69" t="s">
        <v>898</v>
      </c>
      <c r="C8" s="70"/>
      <c r="AR8" s="38"/>
      <c r="AS8" s="42"/>
      <c r="AT8" s="43"/>
      <c r="AU8" s="38"/>
      <c r="AV8" s="38"/>
      <c r="AW8" s="38"/>
    </row>
    <row r="9" spans="2:49" s="45" customFormat="1" ht="19.5" customHeight="1">
      <c r="B9" s="233" t="s">
        <v>14</v>
      </c>
      <c r="C9" s="234"/>
      <c r="D9" s="234"/>
      <c r="E9" s="234"/>
      <c r="F9" s="231" t="s">
        <v>27</v>
      </c>
      <c r="G9" s="231"/>
      <c r="H9" s="232"/>
      <c r="I9" s="74"/>
      <c r="J9" s="38"/>
      <c r="M9" s="38"/>
      <c r="N9"/>
      <c r="O9"/>
      <c r="AR9" s="38" t="s">
        <v>262</v>
      </c>
      <c r="AS9" s="42" t="s">
        <v>153</v>
      </c>
      <c r="AT9" s="43" t="s">
        <v>157</v>
      </c>
      <c r="AU9" s="38"/>
      <c r="AV9" s="38"/>
      <c r="AW9" s="38"/>
    </row>
    <row r="10" spans="2:49" s="45" customFormat="1" ht="18.75" customHeight="1">
      <c r="B10" s="233"/>
      <c r="C10" s="234"/>
      <c r="D10" s="234"/>
      <c r="E10" s="234"/>
      <c r="F10" s="75" t="s">
        <v>28</v>
      </c>
      <c r="G10" s="75" t="s">
        <v>16</v>
      </c>
      <c r="H10" s="80" t="s">
        <v>17</v>
      </c>
      <c r="I10" s="74"/>
      <c r="J10" s="38"/>
      <c r="M10" s="38"/>
      <c r="N10"/>
      <c r="O10"/>
      <c r="AR10" s="38" t="s">
        <v>263</v>
      </c>
      <c r="AS10" s="42" t="s">
        <v>153</v>
      </c>
      <c r="AT10" s="43" t="s">
        <v>158</v>
      </c>
      <c r="AU10" s="38"/>
      <c r="AV10" s="38"/>
      <c r="AW10" s="38"/>
    </row>
    <row r="11" spans="2:49" s="45" customFormat="1" ht="18.75" customHeight="1">
      <c r="B11" s="237" t="s">
        <v>88</v>
      </c>
      <c r="C11" s="238"/>
      <c r="D11" s="238"/>
      <c r="E11" s="239"/>
      <c r="F11" s="75"/>
      <c r="G11" s="75"/>
      <c r="H11" s="80">
        <f t="shared" ref="H11" si="0">SUM(F11:G11)</f>
        <v>0</v>
      </c>
      <c r="I11" s="74"/>
      <c r="J11" s="38"/>
      <c r="K11" s="38"/>
      <c r="M11" s="38"/>
      <c r="N11"/>
      <c r="O11"/>
      <c r="AR11" s="38" t="s">
        <v>291</v>
      </c>
      <c r="AS11" s="42" t="s">
        <v>153</v>
      </c>
      <c r="AT11" s="43" t="s">
        <v>159</v>
      </c>
      <c r="AU11" s="38"/>
      <c r="AV11" s="38"/>
      <c r="AW11" s="38"/>
    </row>
    <row r="12" spans="2:49" s="45" customFormat="1" ht="18.75" customHeight="1">
      <c r="B12" s="229" t="s">
        <v>890</v>
      </c>
      <c r="C12" s="230"/>
      <c r="D12" s="230"/>
      <c r="E12" s="230"/>
      <c r="F12" s="75"/>
      <c r="G12" s="75"/>
      <c r="H12" s="80">
        <f>SUM(F12:G12)</f>
        <v>0</v>
      </c>
      <c r="I12" s="74"/>
      <c r="J12" s="38"/>
      <c r="L12" s="38"/>
      <c r="M12" s="38"/>
      <c r="N12"/>
      <c r="O12"/>
      <c r="AR12" s="38" t="s">
        <v>293</v>
      </c>
      <c r="AS12" s="42" t="s">
        <v>153</v>
      </c>
      <c r="AT12" s="43" t="s">
        <v>160</v>
      </c>
      <c r="AU12" s="38"/>
      <c r="AV12" s="38"/>
      <c r="AW12" s="38"/>
    </row>
    <row r="13" spans="2:49" s="45" customFormat="1" ht="22.5" customHeight="1">
      <c r="B13" s="208" t="s">
        <v>891</v>
      </c>
      <c r="C13" s="209"/>
      <c r="D13" s="209"/>
      <c r="E13" s="209"/>
      <c r="F13" s="75"/>
      <c r="G13" s="75"/>
      <c r="H13" s="80">
        <f t="shared" ref="H13:H26" si="1">SUM(F13:G13)</f>
        <v>0</v>
      </c>
      <c r="I13" s="74"/>
      <c r="J13" s="38"/>
      <c r="K13" s="38"/>
      <c r="L13" s="38"/>
      <c r="M13" s="38"/>
      <c r="N13"/>
      <c r="O13"/>
      <c r="AR13" s="38" t="s">
        <v>296</v>
      </c>
      <c r="AS13" s="42" t="s">
        <v>153</v>
      </c>
      <c r="AT13" s="43" t="s">
        <v>161</v>
      </c>
      <c r="AU13" s="38"/>
      <c r="AV13" s="38"/>
      <c r="AW13" s="38"/>
    </row>
    <row r="14" spans="2:49" s="45" customFormat="1" ht="30.75" customHeight="1">
      <c r="B14" s="211" t="s">
        <v>87</v>
      </c>
      <c r="C14" s="212"/>
      <c r="D14" s="213"/>
      <c r="E14" s="213"/>
      <c r="F14" s="75"/>
      <c r="G14" s="75"/>
      <c r="H14" s="80">
        <f t="shared" si="1"/>
        <v>0</v>
      </c>
      <c r="I14" s="74"/>
      <c r="J14" s="38"/>
      <c r="K14" s="38"/>
      <c r="L14" s="38"/>
      <c r="M14" s="38"/>
      <c r="N14"/>
      <c r="O14"/>
      <c r="AR14" s="38" t="s">
        <v>308</v>
      </c>
      <c r="AS14" s="42" t="s">
        <v>153</v>
      </c>
      <c r="AT14" s="43" t="s">
        <v>162</v>
      </c>
      <c r="AU14" s="38"/>
      <c r="AV14" s="38"/>
      <c r="AW14" s="38"/>
    </row>
    <row r="15" spans="2:49" s="47" customFormat="1" ht="29.25" customHeight="1">
      <c r="B15" s="211" t="s">
        <v>143</v>
      </c>
      <c r="C15" s="212"/>
      <c r="D15" s="213"/>
      <c r="E15" s="213"/>
      <c r="F15" s="75"/>
      <c r="G15" s="75"/>
      <c r="H15" s="80">
        <f t="shared" si="1"/>
        <v>0</v>
      </c>
      <c r="I15" s="76"/>
      <c r="J15" s="38"/>
      <c r="K15" s="38"/>
      <c r="L15" s="38"/>
      <c r="M15" s="38"/>
      <c r="N15"/>
      <c r="O15"/>
      <c r="AR15" s="38" t="s">
        <v>311</v>
      </c>
      <c r="AS15" s="42" t="s">
        <v>153</v>
      </c>
      <c r="AT15" s="43" t="s">
        <v>163</v>
      </c>
      <c r="AU15" s="38"/>
      <c r="AV15" s="38"/>
      <c r="AW15" s="38"/>
    </row>
    <row r="16" spans="2:49" s="47" customFormat="1" ht="29.25" customHeight="1">
      <c r="B16" s="214" t="s">
        <v>903</v>
      </c>
      <c r="C16" s="215"/>
      <c r="D16" s="215"/>
      <c r="E16" s="216"/>
      <c r="F16" s="75"/>
      <c r="G16" s="75"/>
      <c r="H16" s="80"/>
      <c r="I16" s="76"/>
      <c r="J16" s="38"/>
      <c r="K16" s="38"/>
      <c r="L16" s="38"/>
      <c r="M16" s="38"/>
      <c r="N16"/>
      <c r="O16"/>
      <c r="AR16" s="38"/>
      <c r="AS16" s="42"/>
      <c r="AT16" s="43"/>
      <c r="AU16" s="38"/>
      <c r="AV16" s="38"/>
      <c r="AW16" s="38"/>
    </row>
    <row r="17" spans="1:364" s="48" customFormat="1" ht="29.25" customHeight="1">
      <c r="A17" s="74"/>
      <c r="B17" s="77" t="s">
        <v>29</v>
      </c>
      <c r="C17" s="210" t="s">
        <v>135</v>
      </c>
      <c r="D17" s="210"/>
      <c r="E17" s="210"/>
      <c r="F17" s="81">
        <f>SUM(F18:F26)</f>
        <v>0</v>
      </c>
      <c r="G17" s="81">
        <f>SUM(G18:G26)</f>
        <v>0</v>
      </c>
      <c r="H17" s="80">
        <f t="shared" si="1"/>
        <v>0</v>
      </c>
      <c r="I17" s="74"/>
      <c r="J17" s="38"/>
      <c r="K17" s="38"/>
      <c r="L17" s="38"/>
      <c r="M17" s="38"/>
      <c r="N17"/>
      <c r="O17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38" t="s">
        <v>368</v>
      </c>
      <c r="AS17" s="42" t="s">
        <v>153</v>
      </c>
      <c r="AT17" s="43" t="s">
        <v>165</v>
      </c>
      <c r="AU17" s="38"/>
      <c r="AV17" s="38"/>
      <c r="AW17" s="38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</row>
    <row r="18" spans="1:364" s="45" customFormat="1" ht="25.5" customHeight="1">
      <c r="B18" s="78">
        <v>1</v>
      </c>
      <c r="C18" s="206" t="s">
        <v>31</v>
      </c>
      <c r="D18" s="207"/>
      <c r="E18" s="207"/>
      <c r="F18" s="75"/>
      <c r="G18" s="75"/>
      <c r="H18" s="80">
        <f t="shared" si="1"/>
        <v>0</v>
      </c>
      <c r="I18" s="74"/>
      <c r="J18" s="38"/>
      <c r="K18" s="38"/>
      <c r="L18" s="38"/>
      <c r="M18" s="38"/>
      <c r="N18"/>
      <c r="O18"/>
      <c r="AR18" s="38" t="s">
        <v>381</v>
      </c>
      <c r="AS18" s="42" t="s">
        <v>153</v>
      </c>
      <c r="AT18" s="43" t="s">
        <v>166</v>
      </c>
      <c r="AU18" s="38"/>
      <c r="AV18" s="38"/>
      <c r="AW18" s="38"/>
    </row>
    <row r="19" spans="1:364" s="45" customFormat="1" ht="25.5" customHeight="1">
      <c r="B19" s="78">
        <v>2</v>
      </c>
      <c r="C19" s="206" t="s">
        <v>32</v>
      </c>
      <c r="D19" s="207"/>
      <c r="E19" s="207"/>
      <c r="F19" s="75"/>
      <c r="G19" s="75"/>
      <c r="H19" s="80">
        <f t="shared" si="1"/>
        <v>0</v>
      </c>
      <c r="I19" s="74"/>
      <c r="J19" s="38"/>
      <c r="K19" s="38"/>
      <c r="L19" s="38"/>
      <c r="M19" s="38"/>
      <c r="N19"/>
      <c r="O19"/>
      <c r="AR19" s="38" t="s">
        <v>404</v>
      </c>
      <c r="AS19" s="40" t="s">
        <v>167</v>
      </c>
      <c r="AT19" s="41" t="s">
        <v>168</v>
      </c>
      <c r="AU19" s="38"/>
      <c r="AV19" s="38"/>
      <c r="AW19" s="38"/>
    </row>
    <row r="20" spans="1:364" s="45" customFormat="1" ht="25.5" customHeight="1">
      <c r="B20" s="78">
        <v>3</v>
      </c>
      <c r="C20" s="206" t="s">
        <v>33</v>
      </c>
      <c r="D20" s="207"/>
      <c r="E20" s="207"/>
      <c r="F20" s="75"/>
      <c r="G20" s="75"/>
      <c r="H20" s="80">
        <f t="shared" si="1"/>
        <v>0</v>
      </c>
      <c r="I20" s="74"/>
      <c r="J20" s="38"/>
      <c r="K20" s="38"/>
      <c r="L20" s="38"/>
      <c r="M20" s="38"/>
      <c r="N20"/>
      <c r="O20"/>
      <c r="AR20" s="38" t="s">
        <v>429</v>
      </c>
      <c r="AS20" s="40" t="s">
        <v>167</v>
      </c>
      <c r="AT20" s="41" t="s">
        <v>169</v>
      </c>
      <c r="AU20" s="38"/>
      <c r="AV20" s="38"/>
      <c r="AW20" s="38"/>
    </row>
    <row r="21" spans="1:364" s="45" customFormat="1" ht="25.5" customHeight="1">
      <c r="B21" s="78">
        <v>4</v>
      </c>
      <c r="C21" s="206" t="s">
        <v>34</v>
      </c>
      <c r="D21" s="207"/>
      <c r="E21" s="207"/>
      <c r="F21" s="75"/>
      <c r="G21" s="75"/>
      <c r="H21" s="80">
        <f t="shared" si="1"/>
        <v>0</v>
      </c>
      <c r="I21" s="74"/>
      <c r="J21" s="38"/>
      <c r="K21" s="38"/>
      <c r="L21" s="38"/>
      <c r="M21" s="38"/>
      <c r="N21"/>
      <c r="O21"/>
      <c r="AR21" s="38" t="s">
        <v>459</v>
      </c>
      <c r="AS21" s="40" t="s">
        <v>167</v>
      </c>
      <c r="AT21" s="41" t="s">
        <v>170</v>
      </c>
      <c r="AU21" s="38"/>
      <c r="AV21" s="38"/>
      <c r="AW21" s="38"/>
    </row>
    <row r="22" spans="1:364" s="45" customFormat="1" ht="25.5" customHeight="1">
      <c r="B22" s="78">
        <v>5</v>
      </c>
      <c r="C22" s="206" t="s">
        <v>35</v>
      </c>
      <c r="D22" s="207"/>
      <c r="E22" s="207"/>
      <c r="F22" s="75"/>
      <c r="G22" s="75"/>
      <c r="H22" s="80">
        <f t="shared" si="1"/>
        <v>0</v>
      </c>
      <c r="I22" s="74"/>
      <c r="J22" s="38"/>
      <c r="K22" s="38"/>
      <c r="L22" s="38"/>
      <c r="M22" s="38"/>
      <c r="N22"/>
      <c r="O22"/>
      <c r="AR22" s="38" t="s">
        <v>474</v>
      </c>
      <c r="AS22" s="40" t="s">
        <v>167</v>
      </c>
      <c r="AT22" s="41" t="s">
        <v>171</v>
      </c>
      <c r="AU22" s="38"/>
      <c r="AV22" s="38"/>
      <c r="AW22" s="38"/>
    </row>
    <row r="23" spans="1:364" s="45" customFormat="1" ht="25.5" customHeight="1">
      <c r="B23" s="78">
        <v>6</v>
      </c>
      <c r="C23" s="206" t="s">
        <v>36</v>
      </c>
      <c r="D23" s="207"/>
      <c r="E23" s="207"/>
      <c r="F23" s="75"/>
      <c r="G23" s="75"/>
      <c r="H23" s="80">
        <f t="shared" si="1"/>
        <v>0</v>
      </c>
      <c r="I23" s="74"/>
      <c r="J23" s="38"/>
      <c r="K23" s="38"/>
      <c r="L23" s="38"/>
      <c r="M23" s="38"/>
      <c r="N23"/>
      <c r="O23"/>
      <c r="AR23" s="38" t="s">
        <v>475</v>
      </c>
      <c r="AS23" s="40" t="s">
        <v>167</v>
      </c>
      <c r="AT23" s="41" t="s">
        <v>172</v>
      </c>
      <c r="AU23" s="38"/>
      <c r="AV23" s="38"/>
      <c r="AW23" s="38"/>
    </row>
    <row r="24" spans="1:364" s="45" customFormat="1" ht="25.5" customHeight="1">
      <c r="B24" s="78">
        <v>7</v>
      </c>
      <c r="C24" s="206" t="s">
        <v>37</v>
      </c>
      <c r="D24" s="207"/>
      <c r="E24" s="207"/>
      <c r="F24" s="75"/>
      <c r="G24" s="75"/>
      <c r="H24" s="80">
        <f t="shared" si="1"/>
        <v>0</v>
      </c>
      <c r="I24" s="74"/>
      <c r="J24" s="38"/>
      <c r="K24" s="38"/>
      <c r="L24" s="38"/>
      <c r="M24" s="38"/>
      <c r="N24"/>
      <c r="O24"/>
      <c r="AR24" s="38" t="s">
        <v>527</v>
      </c>
      <c r="AS24" s="40" t="s">
        <v>167</v>
      </c>
      <c r="AT24" s="41" t="s">
        <v>173</v>
      </c>
      <c r="AU24" s="38"/>
      <c r="AV24" s="38"/>
      <c r="AW24" s="38"/>
    </row>
    <row r="25" spans="1:364" s="45" customFormat="1" ht="25.5" customHeight="1">
      <c r="B25" s="78">
        <v>8</v>
      </c>
      <c r="C25" s="206" t="s">
        <v>38</v>
      </c>
      <c r="D25" s="207"/>
      <c r="E25" s="207"/>
      <c r="F25" s="75"/>
      <c r="G25" s="75"/>
      <c r="H25" s="80">
        <f t="shared" si="1"/>
        <v>0</v>
      </c>
      <c r="I25" s="74"/>
      <c r="J25" s="38"/>
      <c r="K25" s="38"/>
      <c r="L25" s="38"/>
      <c r="M25" s="38"/>
      <c r="N25"/>
      <c r="O25"/>
      <c r="AR25" s="38" t="s">
        <v>562</v>
      </c>
      <c r="AS25" s="40" t="s">
        <v>167</v>
      </c>
      <c r="AT25" s="41" t="s">
        <v>174</v>
      </c>
      <c r="AU25" s="38"/>
      <c r="AV25" s="38"/>
      <c r="AW25" s="38"/>
    </row>
    <row r="26" spans="1:364" s="45" customFormat="1" ht="25.5" customHeight="1">
      <c r="B26" s="78">
        <v>9</v>
      </c>
      <c r="C26" s="206" t="s">
        <v>933</v>
      </c>
      <c r="D26" s="207"/>
      <c r="E26" s="207"/>
      <c r="F26" s="75"/>
      <c r="G26" s="75"/>
      <c r="H26" s="80">
        <f t="shared" si="1"/>
        <v>0</v>
      </c>
      <c r="I26" s="74"/>
      <c r="J26" s="38"/>
      <c r="K26" s="38"/>
      <c r="L26" s="38"/>
      <c r="M26" s="38"/>
      <c r="N26"/>
      <c r="O26"/>
      <c r="AR26" s="38" t="s">
        <v>579</v>
      </c>
      <c r="AS26" s="40" t="s">
        <v>167</v>
      </c>
      <c r="AT26" s="41" t="s">
        <v>175</v>
      </c>
      <c r="AU26" s="38"/>
      <c r="AV26" s="38"/>
      <c r="AW26" s="38"/>
    </row>
    <row r="27" spans="1:364" s="45" customFormat="1" ht="25.5" customHeight="1">
      <c r="B27" s="94"/>
      <c r="C27" s="171" t="s">
        <v>926</v>
      </c>
      <c r="D27" s="171"/>
      <c r="E27" s="172"/>
      <c r="F27" s="75"/>
      <c r="G27" s="75"/>
      <c r="H27" s="80"/>
      <c r="I27" s="74"/>
      <c r="J27" s="38"/>
      <c r="K27" s="38"/>
      <c r="L27" s="38"/>
      <c r="M27" s="38"/>
      <c r="N27"/>
      <c r="O27"/>
      <c r="AR27" s="38"/>
      <c r="AS27" s="40"/>
      <c r="AT27" s="41"/>
      <c r="AU27" s="38"/>
      <c r="AV27" s="38"/>
      <c r="AW27" s="38"/>
    </row>
    <row r="28" spans="1:364" s="45" customFormat="1" ht="25.5" customHeight="1">
      <c r="B28" s="94"/>
      <c r="C28" s="173" t="s">
        <v>927</v>
      </c>
      <c r="D28" s="174"/>
      <c r="E28" s="175"/>
      <c r="F28" s="75"/>
      <c r="G28" s="75"/>
      <c r="H28" s="80"/>
      <c r="I28" s="74"/>
      <c r="J28" s="38"/>
      <c r="K28" s="38"/>
      <c r="L28" s="38"/>
      <c r="M28" s="38"/>
      <c r="N28"/>
      <c r="O28"/>
      <c r="AR28" s="38"/>
      <c r="AS28" s="40"/>
      <c r="AT28" s="41"/>
      <c r="AU28" s="38"/>
      <c r="AV28" s="38"/>
      <c r="AW28" s="38"/>
    </row>
    <row r="29" spans="1:364" s="45" customFormat="1" ht="25.5" customHeight="1">
      <c r="B29" s="186" t="s">
        <v>116</v>
      </c>
      <c r="C29" s="187"/>
      <c r="D29" s="188"/>
      <c r="E29" s="75" t="s">
        <v>102</v>
      </c>
      <c r="F29" s="75" t="s">
        <v>139</v>
      </c>
      <c r="G29" s="75" t="s">
        <v>140</v>
      </c>
      <c r="H29" s="80" t="s">
        <v>17</v>
      </c>
      <c r="I29" s="74"/>
      <c r="J29" s="38"/>
      <c r="K29" s="38"/>
      <c r="L29" s="38"/>
      <c r="M29" s="38"/>
      <c r="N29"/>
      <c r="O29"/>
      <c r="AR29" s="38" t="s">
        <v>591</v>
      </c>
      <c r="AS29" s="40" t="s">
        <v>167</v>
      </c>
      <c r="AT29" s="41" t="s">
        <v>176</v>
      </c>
      <c r="AU29" s="38"/>
      <c r="AV29" s="38"/>
      <c r="AW29" s="38"/>
    </row>
    <row r="30" spans="1:364" s="45" customFormat="1" ht="18" customHeight="1">
      <c r="B30" s="182" t="s">
        <v>31</v>
      </c>
      <c r="C30" s="183"/>
      <c r="D30" s="79" t="s">
        <v>15</v>
      </c>
      <c r="E30" s="75"/>
      <c r="F30" s="75"/>
      <c r="G30" s="75"/>
      <c r="H30" s="80">
        <f>SUM(E30:G30)</f>
        <v>0</v>
      </c>
      <c r="I30" s="74"/>
      <c r="J30" s="38"/>
      <c r="K30" s="38"/>
      <c r="L30" s="38"/>
      <c r="M30" s="38"/>
      <c r="N30"/>
      <c r="O30"/>
      <c r="AR30" s="38" t="s">
        <v>600</v>
      </c>
      <c r="AS30" s="40" t="s">
        <v>167</v>
      </c>
      <c r="AT30" s="41" t="s">
        <v>177</v>
      </c>
      <c r="AU30" s="38"/>
      <c r="AV30" s="38"/>
      <c r="AW30" s="38"/>
    </row>
    <row r="31" spans="1:364" s="45" customFormat="1" ht="18" customHeight="1">
      <c r="B31" s="184"/>
      <c r="C31" s="185"/>
      <c r="D31" s="79" t="s">
        <v>16</v>
      </c>
      <c r="E31" s="75"/>
      <c r="F31" s="75"/>
      <c r="G31" s="75"/>
      <c r="H31" s="80">
        <f t="shared" ref="H31:H47" si="2">SUM(E31:G31)</f>
        <v>0</v>
      </c>
      <c r="I31" s="74"/>
      <c r="J31" s="38"/>
      <c r="K31" s="38"/>
      <c r="L31" s="38"/>
      <c r="M31" s="38"/>
      <c r="N31"/>
      <c r="O31"/>
      <c r="AR31" s="38" t="s">
        <v>612</v>
      </c>
      <c r="AS31" s="40" t="s">
        <v>167</v>
      </c>
      <c r="AT31" s="41" t="s">
        <v>178</v>
      </c>
      <c r="AU31" s="38"/>
      <c r="AV31" s="38"/>
      <c r="AW31" s="38"/>
    </row>
    <row r="32" spans="1:364" s="45" customFormat="1" ht="18" customHeight="1">
      <c r="B32" s="182" t="s">
        <v>32</v>
      </c>
      <c r="C32" s="183"/>
      <c r="D32" s="79" t="s">
        <v>15</v>
      </c>
      <c r="E32" s="75"/>
      <c r="F32" s="75"/>
      <c r="G32" s="75"/>
      <c r="H32" s="80">
        <f t="shared" si="2"/>
        <v>0</v>
      </c>
      <c r="I32" s="74"/>
      <c r="J32" s="38"/>
      <c r="K32" s="38"/>
      <c r="L32" s="38"/>
      <c r="M32" s="38"/>
      <c r="N32"/>
      <c r="O32"/>
      <c r="AR32" s="38" t="s">
        <v>643</v>
      </c>
      <c r="AS32" s="40" t="s">
        <v>167</v>
      </c>
      <c r="AT32" s="41" t="s">
        <v>179</v>
      </c>
      <c r="AU32" s="38"/>
      <c r="AV32" s="38"/>
      <c r="AW32" s="38"/>
    </row>
    <row r="33" spans="2:49" s="45" customFormat="1" ht="18" customHeight="1">
      <c r="B33" s="184"/>
      <c r="C33" s="185"/>
      <c r="D33" s="79" t="s">
        <v>16</v>
      </c>
      <c r="E33" s="75"/>
      <c r="F33" s="75"/>
      <c r="G33" s="75"/>
      <c r="H33" s="80">
        <f t="shared" si="2"/>
        <v>0</v>
      </c>
      <c r="I33" s="74"/>
      <c r="J33" s="38"/>
      <c r="K33" s="38"/>
      <c r="L33" s="38"/>
      <c r="M33" s="38"/>
      <c r="N33"/>
      <c r="O33"/>
      <c r="AR33" s="38" t="s">
        <v>648</v>
      </c>
      <c r="AS33" s="40" t="s">
        <v>167</v>
      </c>
      <c r="AT33" s="41" t="s">
        <v>180</v>
      </c>
      <c r="AU33" s="38"/>
      <c r="AV33" s="38"/>
      <c r="AW33" s="38"/>
    </row>
    <row r="34" spans="2:49" s="45" customFormat="1" ht="18" customHeight="1">
      <c r="B34" s="182" t="s">
        <v>33</v>
      </c>
      <c r="C34" s="183"/>
      <c r="D34" s="79" t="s">
        <v>15</v>
      </c>
      <c r="E34" s="75"/>
      <c r="F34" s="75"/>
      <c r="G34" s="75"/>
      <c r="H34" s="80">
        <f t="shared" si="2"/>
        <v>0</v>
      </c>
      <c r="I34" s="74"/>
      <c r="J34" s="38"/>
      <c r="K34" s="38"/>
      <c r="L34" s="38"/>
      <c r="M34" s="38"/>
      <c r="N34"/>
      <c r="O34"/>
      <c r="AR34" s="38" t="s">
        <v>671</v>
      </c>
      <c r="AS34" s="40" t="s">
        <v>167</v>
      </c>
      <c r="AT34" s="41" t="s">
        <v>181</v>
      </c>
      <c r="AU34" s="38"/>
      <c r="AV34" s="38"/>
      <c r="AW34" s="38"/>
    </row>
    <row r="35" spans="2:49" s="45" customFormat="1" ht="18" customHeight="1">
      <c r="B35" s="184"/>
      <c r="C35" s="185"/>
      <c r="D35" s="79" t="s">
        <v>16</v>
      </c>
      <c r="E35" s="75"/>
      <c r="F35" s="75"/>
      <c r="G35" s="75"/>
      <c r="H35" s="80">
        <f t="shared" si="2"/>
        <v>0</v>
      </c>
      <c r="I35" s="74"/>
      <c r="J35" s="38"/>
      <c r="K35" s="38"/>
      <c r="L35" s="38"/>
      <c r="M35" s="38"/>
      <c r="N35"/>
      <c r="O35"/>
      <c r="AR35" s="38" t="s">
        <v>705</v>
      </c>
      <c r="AS35" s="40" t="s">
        <v>167</v>
      </c>
      <c r="AT35" s="41" t="s">
        <v>182</v>
      </c>
      <c r="AU35" s="38"/>
      <c r="AV35" s="38"/>
      <c r="AW35" s="38"/>
    </row>
    <row r="36" spans="2:49" s="45" customFormat="1" ht="18" customHeight="1">
      <c r="B36" s="182" t="s">
        <v>34</v>
      </c>
      <c r="C36" s="183"/>
      <c r="D36" s="79" t="s">
        <v>15</v>
      </c>
      <c r="E36" s="75"/>
      <c r="F36" s="75"/>
      <c r="G36" s="75"/>
      <c r="H36" s="80">
        <f t="shared" si="2"/>
        <v>0</v>
      </c>
      <c r="I36" s="74"/>
      <c r="J36" s="38"/>
      <c r="K36" s="38"/>
      <c r="L36" s="38"/>
      <c r="M36" s="38"/>
      <c r="N36"/>
      <c r="O36"/>
      <c r="AR36" s="38" t="s">
        <v>706</v>
      </c>
      <c r="AS36" s="40" t="s">
        <v>167</v>
      </c>
      <c r="AT36" s="41" t="s">
        <v>183</v>
      </c>
      <c r="AU36" s="38"/>
      <c r="AV36" s="38"/>
      <c r="AW36" s="38"/>
    </row>
    <row r="37" spans="2:49" s="45" customFormat="1" ht="18" customHeight="1">
      <c r="B37" s="184"/>
      <c r="C37" s="185"/>
      <c r="D37" s="79" t="s">
        <v>16</v>
      </c>
      <c r="E37" s="75"/>
      <c r="F37" s="75"/>
      <c r="G37" s="75"/>
      <c r="H37" s="80">
        <f t="shared" si="2"/>
        <v>0</v>
      </c>
      <c r="I37" s="74"/>
      <c r="J37" s="38"/>
      <c r="K37" s="38"/>
      <c r="L37" s="38"/>
      <c r="M37" s="38"/>
      <c r="N37"/>
      <c r="O37"/>
      <c r="AR37" s="38" t="s">
        <v>739</v>
      </c>
      <c r="AS37" s="40" t="s">
        <v>167</v>
      </c>
      <c r="AT37" s="41" t="s">
        <v>184</v>
      </c>
      <c r="AU37" s="38"/>
      <c r="AV37" s="38"/>
      <c r="AW37" s="38"/>
    </row>
    <row r="38" spans="2:49" s="45" customFormat="1" ht="18" customHeight="1">
      <c r="B38" s="182" t="s">
        <v>94</v>
      </c>
      <c r="C38" s="183"/>
      <c r="D38" s="79" t="s">
        <v>15</v>
      </c>
      <c r="E38" s="75"/>
      <c r="F38" s="75"/>
      <c r="G38" s="75"/>
      <c r="H38" s="80">
        <f t="shared" si="2"/>
        <v>0</v>
      </c>
      <c r="I38" s="74"/>
      <c r="J38" s="38"/>
      <c r="K38" s="38"/>
      <c r="L38" s="38"/>
      <c r="M38" s="38"/>
      <c r="N38"/>
      <c r="O38"/>
      <c r="AR38" s="38" t="s">
        <v>771</v>
      </c>
      <c r="AS38" s="40" t="s">
        <v>167</v>
      </c>
      <c r="AT38" s="41" t="s">
        <v>185</v>
      </c>
      <c r="AU38" s="38"/>
      <c r="AV38" s="38"/>
      <c r="AW38" s="38"/>
    </row>
    <row r="39" spans="2:49" s="45" customFormat="1" ht="18" customHeight="1">
      <c r="B39" s="184"/>
      <c r="C39" s="185"/>
      <c r="D39" s="79" t="s">
        <v>16</v>
      </c>
      <c r="E39" s="75"/>
      <c r="F39" s="75"/>
      <c r="G39" s="75"/>
      <c r="H39" s="80">
        <f t="shared" si="2"/>
        <v>0</v>
      </c>
      <c r="I39" s="74"/>
      <c r="J39" s="38"/>
      <c r="K39" s="38"/>
      <c r="L39" s="38"/>
      <c r="M39" s="38"/>
      <c r="N39"/>
      <c r="O39"/>
      <c r="AR39" s="38" t="s">
        <v>780</v>
      </c>
      <c r="AS39" s="40" t="s">
        <v>167</v>
      </c>
      <c r="AT39" s="41" t="s">
        <v>186</v>
      </c>
      <c r="AU39" s="38"/>
      <c r="AV39" s="38"/>
      <c r="AW39" s="38"/>
    </row>
    <row r="40" spans="2:49" s="45" customFormat="1" ht="18" customHeight="1">
      <c r="B40" s="182" t="s">
        <v>36</v>
      </c>
      <c r="C40" s="183"/>
      <c r="D40" s="79" t="s">
        <v>15</v>
      </c>
      <c r="E40" s="75"/>
      <c r="F40" s="75"/>
      <c r="G40" s="75"/>
      <c r="H40" s="80">
        <f t="shared" si="2"/>
        <v>0</v>
      </c>
      <c r="I40" s="74"/>
      <c r="J40" s="38"/>
      <c r="K40" s="38"/>
      <c r="L40" s="38"/>
      <c r="M40" s="38"/>
      <c r="N40"/>
      <c r="O40"/>
      <c r="AR40" s="38" t="s">
        <v>853</v>
      </c>
      <c r="AS40" s="40" t="s">
        <v>167</v>
      </c>
      <c r="AT40" s="41" t="s">
        <v>187</v>
      </c>
      <c r="AU40" s="38"/>
      <c r="AV40" s="38"/>
      <c r="AW40" s="38"/>
    </row>
    <row r="41" spans="2:49" s="45" customFormat="1" ht="18" customHeight="1">
      <c r="B41" s="184"/>
      <c r="C41" s="185"/>
      <c r="D41" s="79" t="s">
        <v>16</v>
      </c>
      <c r="E41" s="75"/>
      <c r="F41" s="75"/>
      <c r="G41" s="75"/>
      <c r="H41" s="80">
        <f t="shared" si="2"/>
        <v>0</v>
      </c>
      <c r="I41" s="74"/>
      <c r="J41" s="38"/>
      <c r="K41" s="38"/>
      <c r="L41" s="38"/>
      <c r="M41" s="38"/>
      <c r="N41"/>
      <c r="O41"/>
      <c r="AR41" s="38" t="s">
        <v>867</v>
      </c>
      <c r="AS41" s="40" t="s">
        <v>167</v>
      </c>
      <c r="AT41" s="41" t="s">
        <v>188</v>
      </c>
      <c r="AU41" s="38"/>
      <c r="AV41" s="38"/>
      <c r="AW41" s="38"/>
    </row>
    <row r="42" spans="2:49" s="45" customFormat="1" ht="18" customHeight="1">
      <c r="B42" s="182" t="s">
        <v>37</v>
      </c>
      <c r="C42" s="183"/>
      <c r="D42" s="79" t="s">
        <v>15</v>
      </c>
      <c r="E42" s="75"/>
      <c r="F42" s="75"/>
      <c r="G42" s="75"/>
      <c r="H42" s="80">
        <f t="shared" si="2"/>
        <v>0</v>
      </c>
      <c r="I42" s="74"/>
      <c r="J42" s="38"/>
      <c r="K42" s="38"/>
      <c r="L42" s="38"/>
      <c r="M42" s="38"/>
      <c r="N42"/>
      <c r="O42"/>
      <c r="AS42" s="40" t="s">
        <v>189</v>
      </c>
      <c r="AT42" s="41" t="s">
        <v>190</v>
      </c>
      <c r="AU42" s="38"/>
      <c r="AV42" s="38"/>
      <c r="AW42" s="38"/>
    </row>
    <row r="43" spans="2:49" s="45" customFormat="1" ht="18" customHeight="1">
      <c r="B43" s="184"/>
      <c r="C43" s="185"/>
      <c r="D43" s="79" t="s">
        <v>16</v>
      </c>
      <c r="E43" s="75"/>
      <c r="F43" s="75"/>
      <c r="G43" s="75"/>
      <c r="H43" s="80">
        <f t="shared" si="2"/>
        <v>0</v>
      </c>
      <c r="I43" s="74"/>
      <c r="J43" s="38"/>
      <c r="K43" s="38"/>
      <c r="L43" s="38"/>
      <c r="M43" s="38"/>
      <c r="N43"/>
      <c r="O43"/>
      <c r="AS43" s="40" t="s">
        <v>189</v>
      </c>
      <c r="AT43" s="41" t="s">
        <v>191</v>
      </c>
      <c r="AU43" s="38"/>
      <c r="AV43" s="38"/>
      <c r="AW43" s="38"/>
    </row>
    <row r="44" spans="2:49" s="45" customFormat="1" ht="18" customHeight="1">
      <c r="B44" s="182" t="s">
        <v>892</v>
      </c>
      <c r="C44" s="183"/>
      <c r="D44" s="79" t="s">
        <v>15</v>
      </c>
      <c r="E44" s="75"/>
      <c r="F44" s="75"/>
      <c r="G44" s="75"/>
      <c r="H44" s="80">
        <f t="shared" si="2"/>
        <v>0</v>
      </c>
      <c r="I44" s="74"/>
      <c r="J44" s="38"/>
      <c r="K44" s="38"/>
      <c r="L44" s="38"/>
      <c r="M44" s="38"/>
      <c r="N44"/>
      <c r="O44"/>
      <c r="AS44" s="40" t="s">
        <v>189</v>
      </c>
      <c r="AT44" s="41" t="s">
        <v>192</v>
      </c>
      <c r="AU44" s="38"/>
      <c r="AV44" s="38"/>
      <c r="AW44" s="38"/>
    </row>
    <row r="45" spans="2:49" s="45" customFormat="1" ht="18" customHeight="1">
      <c r="B45" s="184"/>
      <c r="C45" s="185"/>
      <c r="D45" s="79" t="s">
        <v>16</v>
      </c>
      <c r="E45" s="75"/>
      <c r="F45" s="75"/>
      <c r="G45" s="75"/>
      <c r="H45" s="80">
        <f t="shared" si="2"/>
        <v>0</v>
      </c>
      <c r="I45" s="74"/>
      <c r="J45" s="38"/>
      <c r="K45" s="38"/>
      <c r="L45" s="38"/>
      <c r="M45" s="38"/>
      <c r="N45"/>
      <c r="O45"/>
      <c r="AS45" s="40" t="s">
        <v>189</v>
      </c>
      <c r="AT45" s="41" t="s">
        <v>193</v>
      </c>
      <c r="AU45" s="38"/>
      <c r="AV45" s="38"/>
      <c r="AW45" s="38"/>
    </row>
    <row r="46" spans="2:49" s="45" customFormat="1" ht="18" customHeight="1">
      <c r="B46" s="182" t="s">
        <v>39</v>
      </c>
      <c r="C46" s="183"/>
      <c r="D46" s="79" t="s">
        <v>15</v>
      </c>
      <c r="E46" s="75"/>
      <c r="F46" s="75"/>
      <c r="G46" s="75"/>
      <c r="H46" s="80">
        <f t="shared" si="2"/>
        <v>0</v>
      </c>
      <c r="I46" s="74"/>
      <c r="J46" s="38"/>
      <c r="K46" s="38"/>
      <c r="L46" s="38"/>
      <c r="M46" s="38"/>
      <c r="N46"/>
      <c r="O46"/>
      <c r="AS46" s="40" t="s">
        <v>189</v>
      </c>
      <c r="AT46" s="41" t="s">
        <v>194</v>
      </c>
      <c r="AU46" s="38"/>
      <c r="AV46" s="38"/>
      <c r="AW46" s="38"/>
    </row>
    <row r="47" spans="2:49" s="45" customFormat="1" ht="18" customHeight="1" thickBot="1">
      <c r="B47" s="184"/>
      <c r="C47" s="185"/>
      <c r="D47" s="79" t="s">
        <v>16</v>
      </c>
      <c r="E47" s="75"/>
      <c r="F47" s="75"/>
      <c r="G47" s="75"/>
      <c r="H47" s="80">
        <f t="shared" si="2"/>
        <v>0</v>
      </c>
      <c r="I47" s="74"/>
      <c r="J47" s="38"/>
      <c r="K47" s="38"/>
      <c r="L47" s="38"/>
      <c r="M47" s="38"/>
      <c r="N47"/>
      <c r="O47"/>
      <c r="AS47" s="40" t="s">
        <v>189</v>
      </c>
      <c r="AT47" s="41" t="s">
        <v>195</v>
      </c>
      <c r="AU47" s="38"/>
      <c r="AV47" s="38"/>
      <c r="AW47" s="38"/>
    </row>
    <row r="48" spans="2:49" s="45" customFormat="1" ht="18" customHeight="1">
      <c r="B48" s="176" t="s">
        <v>138</v>
      </c>
      <c r="C48" s="177" t="s">
        <v>138</v>
      </c>
      <c r="D48" s="178" t="s">
        <v>74</v>
      </c>
      <c r="E48" s="179"/>
      <c r="F48" s="178" t="s">
        <v>75</v>
      </c>
      <c r="G48" s="180"/>
      <c r="H48" s="181"/>
      <c r="N48"/>
      <c r="O48"/>
      <c r="AS48" s="40" t="s">
        <v>189</v>
      </c>
      <c r="AT48" s="41" t="s">
        <v>196</v>
      </c>
      <c r="AU48" s="38"/>
      <c r="AV48" s="38"/>
      <c r="AW48" s="38"/>
    </row>
    <row r="49" spans="2:49" s="45" customFormat="1" ht="21.75" customHeight="1">
      <c r="B49" s="176" t="s">
        <v>77</v>
      </c>
      <c r="C49" s="177"/>
      <c r="D49" s="191"/>
      <c r="E49" s="192"/>
      <c r="F49" s="197"/>
      <c r="G49" s="198"/>
      <c r="H49" s="199"/>
      <c r="N49"/>
      <c r="O49"/>
      <c r="AS49" s="40" t="s">
        <v>189</v>
      </c>
      <c r="AT49" s="41" t="s">
        <v>197</v>
      </c>
      <c r="AU49" s="38"/>
      <c r="AV49" s="38"/>
      <c r="AW49" s="38"/>
    </row>
    <row r="50" spans="2:49" s="45" customFormat="1" ht="21.75" customHeight="1">
      <c r="B50" s="176" t="s">
        <v>78</v>
      </c>
      <c r="C50" s="177"/>
      <c r="D50" s="193"/>
      <c r="E50" s="194"/>
      <c r="F50" s="200"/>
      <c r="G50" s="201"/>
      <c r="H50" s="202"/>
      <c r="N50"/>
      <c r="O50"/>
      <c r="AS50" s="40" t="s">
        <v>189</v>
      </c>
      <c r="AT50" s="41" t="s">
        <v>198</v>
      </c>
      <c r="AU50" s="38"/>
      <c r="AV50" s="38"/>
      <c r="AW50" s="38"/>
    </row>
    <row r="51" spans="2:49" s="45" customFormat="1" ht="21.75" customHeight="1" thickBot="1">
      <c r="B51" s="189" t="s">
        <v>79</v>
      </c>
      <c r="C51" s="190"/>
      <c r="D51" s="195"/>
      <c r="E51" s="196"/>
      <c r="F51" s="203"/>
      <c r="G51" s="204"/>
      <c r="H51" s="205"/>
      <c r="N51"/>
      <c r="O51"/>
      <c r="AS51" s="40" t="s">
        <v>189</v>
      </c>
      <c r="AT51" s="41" t="s">
        <v>199</v>
      </c>
      <c r="AU51" s="38"/>
      <c r="AV51" s="38"/>
      <c r="AW51" s="38"/>
    </row>
    <row r="52" spans="2:49" s="38" customFormat="1">
      <c r="N52"/>
      <c r="O52"/>
      <c r="AS52" s="40" t="s">
        <v>189</v>
      </c>
      <c r="AT52" s="41" t="s">
        <v>200</v>
      </c>
    </row>
    <row r="53" spans="2:49">
      <c r="B53" s="39"/>
      <c r="C53" s="39"/>
      <c r="D53" s="39"/>
      <c r="E53" s="39"/>
      <c r="F53" s="39"/>
      <c r="G53" s="39"/>
      <c r="H53" s="39"/>
      <c r="AS53" s="40" t="s">
        <v>189</v>
      </c>
      <c r="AT53" s="41" t="s">
        <v>201</v>
      </c>
      <c r="AU53" s="38"/>
      <c r="AV53" s="38"/>
      <c r="AW53" s="38"/>
    </row>
    <row r="54" spans="2:49">
      <c r="B54" s="39"/>
      <c r="C54" s="39"/>
      <c r="D54" s="39"/>
      <c r="E54" s="39"/>
      <c r="F54" s="39"/>
      <c r="G54" s="39"/>
      <c r="H54" s="39"/>
      <c r="AS54" s="40" t="s">
        <v>189</v>
      </c>
      <c r="AT54" s="41" t="s">
        <v>202</v>
      </c>
      <c r="AU54" s="38"/>
      <c r="AV54" s="38"/>
      <c r="AW54" s="38"/>
    </row>
    <row r="55" spans="2:49">
      <c r="B55" s="39"/>
      <c r="C55" s="39"/>
      <c r="D55" s="39"/>
      <c r="E55" s="39"/>
      <c r="F55" s="39"/>
      <c r="G55" s="39"/>
      <c r="H55" s="39"/>
      <c r="AS55" s="40" t="s">
        <v>189</v>
      </c>
      <c r="AT55" s="41" t="s">
        <v>203</v>
      </c>
      <c r="AU55" s="38"/>
      <c r="AV55" s="38"/>
      <c r="AW55" s="38"/>
    </row>
    <row r="56" spans="2:49">
      <c r="B56" s="39"/>
      <c r="C56" s="39"/>
      <c r="D56" s="39"/>
      <c r="E56" s="39"/>
      <c r="F56" s="39"/>
      <c r="G56" s="39"/>
      <c r="H56" s="39"/>
      <c r="AS56" s="40" t="s">
        <v>189</v>
      </c>
      <c r="AT56" s="41" t="s">
        <v>204</v>
      </c>
      <c r="AU56" s="38"/>
      <c r="AV56" s="38"/>
      <c r="AW56" s="38"/>
    </row>
    <row r="57" spans="2:49">
      <c r="B57" s="39"/>
      <c r="C57" s="39"/>
      <c r="D57" s="39"/>
      <c r="E57" s="39"/>
      <c r="F57" s="39"/>
      <c r="G57" s="39"/>
      <c r="H57" s="39"/>
      <c r="AS57" s="40" t="s">
        <v>189</v>
      </c>
      <c r="AT57" s="41" t="s">
        <v>205</v>
      </c>
      <c r="AU57" s="38"/>
      <c r="AV57" s="38"/>
      <c r="AW57" s="38"/>
    </row>
    <row r="58" spans="2:49">
      <c r="B58" s="39"/>
      <c r="C58" s="39"/>
      <c r="D58" s="39"/>
      <c r="E58" s="39"/>
      <c r="F58" s="39"/>
      <c r="G58" s="39"/>
      <c r="H58" s="39"/>
      <c r="AS58" s="40" t="s">
        <v>189</v>
      </c>
      <c r="AT58" s="41" t="s">
        <v>206</v>
      </c>
      <c r="AU58" s="38"/>
      <c r="AV58" s="38"/>
      <c r="AW58" s="38"/>
    </row>
    <row r="59" spans="2:49">
      <c r="B59" s="39"/>
      <c r="C59" s="39"/>
      <c r="D59" s="39"/>
      <c r="E59" s="39"/>
      <c r="F59" s="39"/>
      <c r="G59" s="39"/>
      <c r="H59" s="39"/>
      <c r="AS59" s="40" t="s">
        <v>189</v>
      </c>
      <c r="AT59" s="41" t="s">
        <v>207</v>
      </c>
      <c r="AU59" s="38"/>
      <c r="AV59" s="38"/>
      <c r="AW59" s="38"/>
    </row>
    <row r="60" spans="2:49">
      <c r="B60" s="39"/>
      <c r="C60" s="39"/>
      <c r="D60" s="39"/>
      <c r="E60" s="39"/>
      <c r="F60" s="39"/>
      <c r="G60" s="39"/>
      <c r="H60" s="39"/>
      <c r="AS60" s="40" t="s">
        <v>189</v>
      </c>
      <c r="AT60" s="41" t="s">
        <v>208</v>
      </c>
      <c r="AU60" s="38"/>
      <c r="AV60" s="38"/>
      <c r="AW60" s="38"/>
    </row>
    <row r="61" spans="2:49">
      <c r="B61" s="39"/>
      <c r="C61" s="39"/>
      <c r="D61" s="39"/>
      <c r="E61" s="39"/>
      <c r="F61" s="39"/>
      <c r="G61" s="39"/>
      <c r="H61" s="39"/>
      <c r="AS61" s="40" t="s">
        <v>189</v>
      </c>
      <c r="AT61" s="41" t="s">
        <v>209</v>
      </c>
      <c r="AU61" s="38"/>
      <c r="AV61" s="38"/>
      <c r="AW61" s="38"/>
    </row>
    <row r="62" spans="2:49">
      <c r="B62" s="39"/>
      <c r="C62" s="39"/>
      <c r="D62" s="39"/>
      <c r="E62" s="39"/>
      <c r="F62" s="39"/>
      <c r="G62" s="39"/>
      <c r="H62" s="39"/>
      <c r="AS62" s="40" t="s">
        <v>189</v>
      </c>
      <c r="AT62" s="41" t="s">
        <v>210</v>
      </c>
      <c r="AU62" s="38"/>
      <c r="AV62" s="38"/>
      <c r="AW62" s="38"/>
    </row>
    <row r="63" spans="2:49">
      <c r="B63" s="39"/>
      <c r="C63" s="39"/>
      <c r="D63" s="39"/>
      <c r="E63" s="39"/>
      <c r="F63" s="39"/>
      <c r="G63" s="39"/>
      <c r="H63" s="39"/>
      <c r="AS63" s="40" t="s">
        <v>189</v>
      </c>
      <c r="AT63" s="41" t="s">
        <v>211</v>
      </c>
      <c r="AU63" s="38"/>
      <c r="AV63" s="38"/>
      <c r="AW63" s="38"/>
    </row>
    <row r="64" spans="2:49">
      <c r="B64" s="39"/>
      <c r="C64" s="39"/>
      <c r="D64" s="39"/>
      <c r="E64" s="39"/>
      <c r="F64" s="39"/>
      <c r="G64" s="39"/>
      <c r="H64" s="39"/>
      <c r="AS64" s="40" t="s">
        <v>189</v>
      </c>
      <c r="AT64" s="41" t="s">
        <v>212</v>
      </c>
      <c r="AU64" s="38"/>
      <c r="AV64" s="38"/>
      <c r="AW64" s="38"/>
    </row>
    <row r="65" spans="2:49">
      <c r="B65" s="39"/>
      <c r="C65" s="39"/>
      <c r="D65" s="39"/>
      <c r="E65" s="39"/>
      <c r="F65" s="39"/>
      <c r="G65" s="39"/>
      <c r="H65" s="39"/>
      <c r="AS65" s="40" t="s">
        <v>189</v>
      </c>
      <c r="AT65" s="41" t="s">
        <v>213</v>
      </c>
      <c r="AU65" s="38"/>
      <c r="AV65" s="38"/>
      <c r="AW65" s="38"/>
    </row>
    <row r="66" spans="2:49">
      <c r="B66" s="39"/>
      <c r="C66" s="39"/>
      <c r="D66" s="39"/>
      <c r="E66" s="39"/>
      <c r="F66" s="39"/>
      <c r="G66" s="39"/>
      <c r="H66" s="39"/>
      <c r="AS66" s="40" t="s">
        <v>189</v>
      </c>
      <c r="AT66" s="41" t="s">
        <v>214</v>
      </c>
      <c r="AU66" s="38"/>
      <c r="AV66" s="38"/>
      <c r="AW66" s="38"/>
    </row>
    <row r="67" spans="2:49">
      <c r="B67" s="39"/>
      <c r="C67" s="39"/>
      <c r="D67" s="39"/>
      <c r="E67" s="39"/>
      <c r="F67" s="39"/>
      <c r="G67" s="39"/>
      <c r="H67" s="39"/>
      <c r="AS67" s="40" t="s">
        <v>189</v>
      </c>
      <c r="AT67" s="41" t="s">
        <v>215</v>
      </c>
      <c r="AU67" s="38"/>
      <c r="AV67" s="38"/>
      <c r="AW67" s="38"/>
    </row>
    <row r="68" spans="2:49">
      <c r="B68" s="39"/>
      <c r="C68" s="39"/>
      <c r="D68" s="39"/>
      <c r="E68" s="39"/>
      <c r="F68" s="39"/>
      <c r="G68" s="39"/>
      <c r="H68" s="39"/>
      <c r="AS68" s="40" t="s">
        <v>189</v>
      </c>
      <c r="AT68" s="41" t="s">
        <v>216</v>
      </c>
      <c r="AU68" s="38"/>
      <c r="AV68" s="38"/>
      <c r="AW68" s="38"/>
    </row>
    <row r="69" spans="2:49">
      <c r="B69" s="39"/>
      <c r="C69" s="39"/>
      <c r="D69" s="39"/>
      <c r="E69" s="39"/>
      <c r="F69" s="39"/>
      <c r="G69" s="39"/>
      <c r="H69" s="39"/>
      <c r="AS69" s="40" t="s">
        <v>189</v>
      </c>
      <c r="AT69" s="41" t="s">
        <v>217</v>
      </c>
      <c r="AU69" s="38"/>
      <c r="AV69" s="38"/>
      <c r="AW69" s="38"/>
    </row>
    <row r="70" spans="2:49">
      <c r="B70" s="39"/>
      <c r="C70" s="39"/>
      <c r="D70" s="39"/>
      <c r="E70" s="39"/>
      <c r="F70" s="39"/>
      <c r="G70" s="39"/>
      <c r="H70" s="39"/>
      <c r="AS70" s="40" t="s">
        <v>189</v>
      </c>
      <c r="AT70" s="41" t="s">
        <v>218</v>
      </c>
      <c r="AU70" s="38"/>
      <c r="AV70" s="38"/>
      <c r="AW70" s="38"/>
    </row>
    <row r="71" spans="2:49">
      <c r="B71" s="39"/>
      <c r="C71" s="39"/>
      <c r="D71" s="39"/>
      <c r="E71" s="39"/>
      <c r="F71" s="39"/>
      <c r="G71" s="39"/>
      <c r="H71" s="39"/>
      <c r="AS71" s="40" t="s">
        <v>189</v>
      </c>
      <c r="AT71" s="41" t="s">
        <v>219</v>
      </c>
      <c r="AU71" s="38"/>
      <c r="AV71" s="38"/>
      <c r="AW71" s="38"/>
    </row>
    <row r="72" spans="2:49">
      <c r="B72" s="39"/>
      <c r="C72" s="39"/>
      <c r="D72" s="39"/>
      <c r="E72" s="39"/>
      <c r="F72" s="39"/>
      <c r="G72" s="39"/>
      <c r="H72" s="39"/>
      <c r="AS72" s="40" t="s">
        <v>189</v>
      </c>
      <c r="AT72" s="41" t="s">
        <v>220</v>
      </c>
      <c r="AU72" s="38"/>
      <c r="AV72" s="38"/>
      <c r="AW72" s="38"/>
    </row>
    <row r="73" spans="2:49">
      <c r="B73" s="39"/>
      <c r="C73" s="39"/>
      <c r="D73" s="39"/>
      <c r="E73" s="39"/>
      <c r="F73" s="39"/>
      <c r="G73" s="39"/>
      <c r="H73" s="39"/>
      <c r="AS73" s="40" t="s">
        <v>189</v>
      </c>
      <c r="AT73" s="41" t="s">
        <v>221</v>
      </c>
      <c r="AU73" s="38"/>
      <c r="AV73" s="38"/>
      <c r="AW73" s="38"/>
    </row>
    <row r="74" spans="2:49">
      <c r="B74" s="39"/>
      <c r="C74" s="39"/>
      <c r="D74" s="39"/>
      <c r="E74" s="39"/>
      <c r="F74" s="39"/>
      <c r="G74" s="39"/>
      <c r="H74" s="39"/>
      <c r="AS74" s="40" t="s">
        <v>189</v>
      </c>
      <c r="AT74" s="41" t="s">
        <v>222</v>
      </c>
      <c r="AU74" s="38"/>
      <c r="AV74" s="38"/>
      <c r="AW74" s="38"/>
    </row>
    <row r="75" spans="2:49">
      <c r="B75" s="39"/>
      <c r="C75" s="39"/>
      <c r="D75" s="39"/>
      <c r="E75" s="39"/>
      <c r="F75" s="39"/>
      <c r="G75" s="39"/>
      <c r="H75" s="39"/>
      <c r="AS75" s="40" t="s">
        <v>223</v>
      </c>
      <c r="AT75" s="41" t="s">
        <v>224</v>
      </c>
      <c r="AU75" s="38"/>
      <c r="AV75" s="38"/>
      <c r="AW75" s="38"/>
    </row>
    <row r="76" spans="2:49">
      <c r="B76" s="39"/>
      <c r="C76" s="39"/>
      <c r="D76" s="39"/>
      <c r="E76" s="39"/>
      <c r="F76" s="39"/>
      <c r="G76" s="39"/>
      <c r="H76" s="39"/>
      <c r="AS76" s="40" t="s">
        <v>223</v>
      </c>
      <c r="AT76" s="41" t="s">
        <v>225</v>
      </c>
      <c r="AU76" s="38"/>
      <c r="AV76" s="38"/>
      <c r="AW76" s="38"/>
    </row>
    <row r="77" spans="2:49">
      <c r="B77" s="39"/>
      <c r="C77" s="39"/>
      <c r="D77" s="39"/>
      <c r="E77" s="39"/>
      <c r="F77" s="39"/>
      <c r="G77" s="39"/>
      <c r="H77" s="39"/>
      <c r="AS77" s="40" t="s">
        <v>223</v>
      </c>
      <c r="AT77" s="41" t="s">
        <v>226</v>
      </c>
      <c r="AU77" s="38"/>
      <c r="AV77" s="38"/>
      <c r="AW77" s="38"/>
    </row>
    <row r="78" spans="2:49">
      <c r="B78" s="39"/>
      <c r="C78" s="39"/>
      <c r="D78" s="39"/>
      <c r="E78" s="39"/>
      <c r="F78" s="39"/>
      <c r="G78" s="39"/>
      <c r="H78" s="39"/>
      <c r="AS78" s="40" t="s">
        <v>223</v>
      </c>
      <c r="AT78" s="41" t="s">
        <v>227</v>
      </c>
      <c r="AU78" s="38"/>
      <c r="AV78" s="38"/>
      <c r="AW78" s="38"/>
    </row>
    <row r="79" spans="2:49">
      <c r="B79" s="39"/>
      <c r="C79" s="39"/>
      <c r="D79" s="39"/>
      <c r="E79" s="39"/>
      <c r="F79" s="39"/>
      <c r="G79" s="39"/>
      <c r="H79" s="39"/>
      <c r="AS79" s="40" t="s">
        <v>223</v>
      </c>
      <c r="AT79" s="41" t="s">
        <v>228</v>
      </c>
      <c r="AU79" s="38"/>
      <c r="AV79" s="38"/>
      <c r="AW79" s="38"/>
    </row>
    <row r="80" spans="2:49">
      <c r="B80" s="39"/>
      <c r="C80" s="39"/>
      <c r="D80" s="39"/>
      <c r="E80" s="39"/>
      <c r="F80" s="39"/>
      <c r="G80" s="39"/>
      <c r="H80" s="39"/>
      <c r="AS80" s="40" t="s">
        <v>223</v>
      </c>
      <c r="AT80" s="41" t="s">
        <v>229</v>
      </c>
      <c r="AU80" s="38"/>
      <c r="AV80" s="38"/>
      <c r="AW80" s="38"/>
    </row>
    <row r="81" spans="2:49">
      <c r="B81" s="39"/>
      <c r="C81" s="39"/>
      <c r="D81" s="39"/>
      <c r="E81" s="39"/>
      <c r="F81" s="39"/>
      <c r="G81" s="39"/>
      <c r="H81" s="39"/>
      <c r="AS81" s="40" t="s">
        <v>223</v>
      </c>
      <c r="AT81" s="41" t="s">
        <v>230</v>
      </c>
      <c r="AU81" s="38"/>
      <c r="AV81" s="38"/>
      <c r="AW81" s="38"/>
    </row>
    <row r="82" spans="2:49">
      <c r="B82" s="39"/>
      <c r="C82" s="39"/>
      <c r="D82" s="39"/>
      <c r="E82" s="39"/>
      <c r="F82" s="39"/>
      <c r="G82" s="39"/>
      <c r="H82" s="39"/>
      <c r="AS82" s="40" t="s">
        <v>223</v>
      </c>
      <c r="AT82" s="41" t="s">
        <v>231</v>
      </c>
      <c r="AU82" s="38"/>
      <c r="AV82" s="38"/>
      <c r="AW82" s="38"/>
    </row>
    <row r="83" spans="2:49">
      <c r="B83" s="39"/>
      <c r="C83" s="39"/>
      <c r="D83" s="39"/>
      <c r="E83" s="39"/>
      <c r="F83" s="39"/>
      <c r="G83" s="39"/>
      <c r="H83" s="39"/>
      <c r="AS83" s="40" t="s">
        <v>223</v>
      </c>
      <c r="AT83" s="41" t="s">
        <v>232</v>
      </c>
      <c r="AU83" s="38"/>
      <c r="AV83" s="38"/>
      <c r="AW83" s="38"/>
    </row>
    <row r="84" spans="2:49">
      <c r="B84" s="39"/>
      <c r="C84" s="39"/>
      <c r="D84" s="39"/>
      <c r="E84" s="39"/>
      <c r="F84" s="39"/>
      <c r="G84" s="39"/>
      <c r="H84" s="39"/>
      <c r="AS84" s="40" t="s">
        <v>223</v>
      </c>
      <c r="AT84" s="41" t="s">
        <v>233</v>
      </c>
      <c r="AU84" s="38"/>
      <c r="AV84" s="38"/>
      <c r="AW84" s="38"/>
    </row>
    <row r="85" spans="2:49">
      <c r="B85" s="39"/>
      <c r="C85" s="39"/>
      <c r="D85" s="39"/>
      <c r="E85" s="39"/>
      <c r="F85" s="39"/>
      <c r="G85" s="39"/>
      <c r="H85" s="39"/>
      <c r="AS85" s="40" t="s">
        <v>223</v>
      </c>
      <c r="AT85" s="41" t="s">
        <v>234</v>
      </c>
      <c r="AU85" s="38"/>
      <c r="AV85" s="38"/>
      <c r="AW85" s="38"/>
    </row>
    <row r="86" spans="2:49">
      <c r="B86" s="39"/>
      <c r="C86" s="39"/>
      <c r="D86" s="39"/>
      <c r="E86" s="39"/>
      <c r="F86" s="39"/>
      <c r="G86" s="39"/>
      <c r="H86" s="39"/>
      <c r="AS86" s="40" t="s">
        <v>223</v>
      </c>
      <c r="AT86" s="41" t="s">
        <v>235</v>
      </c>
      <c r="AU86" s="38"/>
      <c r="AV86" s="38"/>
      <c r="AW86" s="38"/>
    </row>
    <row r="87" spans="2:49">
      <c r="B87" s="39"/>
      <c r="C87" s="39"/>
      <c r="D87" s="39"/>
      <c r="E87" s="39"/>
      <c r="F87" s="39"/>
      <c r="G87" s="39"/>
      <c r="H87" s="39"/>
      <c r="AS87" s="40" t="s">
        <v>223</v>
      </c>
      <c r="AT87" s="41" t="s">
        <v>236</v>
      </c>
      <c r="AU87" s="38"/>
      <c r="AV87" s="38"/>
      <c r="AW87" s="38"/>
    </row>
    <row r="88" spans="2:49">
      <c r="B88" s="39"/>
      <c r="C88" s="39"/>
      <c r="D88" s="39"/>
      <c r="E88" s="39"/>
      <c r="F88" s="39"/>
      <c r="G88" s="39"/>
      <c r="H88" s="39"/>
      <c r="AS88" s="40" t="s">
        <v>223</v>
      </c>
      <c r="AT88" s="41" t="s">
        <v>237</v>
      </c>
      <c r="AU88" s="38"/>
      <c r="AV88" s="38"/>
      <c r="AW88" s="38"/>
    </row>
    <row r="89" spans="2:49">
      <c r="B89" s="39"/>
      <c r="C89" s="39"/>
      <c r="D89" s="39"/>
      <c r="E89" s="39"/>
      <c r="F89" s="39"/>
      <c r="G89" s="39"/>
      <c r="H89" s="39"/>
      <c r="AS89" s="40" t="s">
        <v>223</v>
      </c>
      <c r="AT89" s="41" t="s">
        <v>238</v>
      </c>
      <c r="AU89" s="38"/>
      <c r="AV89" s="38"/>
      <c r="AW89" s="38"/>
    </row>
    <row r="90" spans="2:49">
      <c r="B90" s="39"/>
      <c r="C90" s="39"/>
      <c r="D90" s="39"/>
      <c r="E90" s="39"/>
      <c r="F90" s="39"/>
      <c r="G90" s="39"/>
      <c r="H90" s="39"/>
      <c r="AS90" s="40" t="s">
        <v>223</v>
      </c>
      <c r="AT90" s="41" t="s">
        <v>239</v>
      </c>
      <c r="AU90" s="38"/>
      <c r="AV90" s="38"/>
      <c r="AW90" s="38"/>
    </row>
    <row r="91" spans="2:49">
      <c r="B91" s="39"/>
      <c r="C91" s="39"/>
      <c r="D91" s="39"/>
      <c r="E91" s="39"/>
      <c r="F91" s="39"/>
      <c r="G91" s="39"/>
      <c r="H91" s="39"/>
      <c r="AS91" s="40" t="s">
        <v>223</v>
      </c>
      <c r="AT91" s="41" t="s">
        <v>240</v>
      </c>
      <c r="AU91" s="38"/>
      <c r="AV91" s="38"/>
      <c r="AW91" s="38"/>
    </row>
    <row r="92" spans="2:49">
      <c r="B92" s="39"/>
      <c r="C92" s="39"/>
      <c r="D92" s="39"/>
      <c r="E92" s="39"/>
      <c r="F92" s="39"/>
      <c r="G92" s="39"/>
      <c r="H92" s="39"/>
      <c r="AS92" s="40" t="s">
        <v>223</v>
      </c>
      <c r="AT92" s="41" t="s">
        <v>241</v>
      </c>
      <c r="AU92" s="38"/>
      <c r="AV92" s="38"/>
      <c r="AW92" s="38"/>
    </row>
    <row r="93" spans="2:49">
      <c r="B93" s="39"/>
      <c r="C93" s="39"/>
      <c r="D93" s="39"/>
      <c r="E93" s="39"/>
      <c r="F93" s="39"/>
      <c r="G93" s="39"/>
      <c r="H93" s="39"/>
      <c r="AS93" s="40" t="s">
        <v>223</v>
      </c>
      <c r="AT93" s="41" t="s">
        <v>242</v>
      </c>
      <c r="AU93" s="38"/>
      <c r="AV93" s="38"/>
      <c r="AW93" s="38"/>
    </row>
    <row r="94" spans="2:49">
      <c r="B94" s="39"/>
      <c r="C94" s="39"/>
      <c r="D94" s="39"/>
      <c r="E94" s="39"/>
      <c r="F94" s="39"/>
      <c r="G94" s="39"/>
      <c r="H94" s="39"/>
      <c r="AS94" s="40" t="s">
        <v>223</v>
      </c>
      <c r="AT94" s="41" t="s">
        <v>243</v>
      </c>
      <c r="AU94" s="38"/>
      <c r="AV94" s="38"/>
      <c r="AW94" s="38"/>
    </row>
    <row r="95" spans="2:49">
      <c r="B95" s="39"/>
      <c r="C95" s="39"/>
      <c r="D95" s="39"/>
      <c r="E95" s="39"/>
      <c r="F95" s="39"/>
      <c r="G95" s="39"/>
      <c r="H95" s="39"/>
      <c r="AS95" s="40" t="s">
        <v>223</v>
      </c>
      <c r="AT95" s="41" t="s">
        <v>244</v>
      </c>
      <c r="AU95" s="38"/>
      <c r="AV95" s="38"/>
      <c r="AW95" s="38"/>
    </row>
    <row r="96" spans="2:49">
      <c r="B96" s="39"/>
      <c r="C96" s="39"/>
      <c r="D96" s="39"/>
      <c r="E96" s="39"/>
      <c r="F96" s="39"/>
      <c r="G96" s="39"/>
      <c r="H96" s="39"/>
      <c r="AS96" s="40" t="s">
        <v>223</v>
      </c>
      <c r="AT96" s="41" t="s">
        <v>245</v>
      </c>
      <c r="AU96" s="38"/>
      <c r="AV96" s="38"/>
      <c r="AW96" s="38"/>
    </row>
    <row r="97" spans="2:49">
      <c r="B97" s="39"/>
      <c r="C97" s="39"/>
      <c r="D97" s="39"/>
      <c r="E97" s="39"/>
      <c r="F97" s="39"/>
      <c r="G97" s="39"/>
      <c r="H97" s="39"/>
      <c r="AS97" s="40" t="s">
        <v>223</v>
      </c>
      <c r="AT97" s="41" t="s">
        <v>246</v>
      </c>
      <c r="AU97" s="38"/>
      <c r="AV97" s="38"/>
      <c r="AW97" s="38"/>
    </row>
    <row r="98" spans="2:49">
      <c r="B98" s="39"/>
      <c r="C98" s="39"/>
      <c r="D98" s="39"/>
      <c r="E98" s="39"/>
      <c r="F98" s="39"/>
      <c r="G98" s="39"/>
      <c r="H98" s="39"/>
      <c r="AS98" s="40" t="s">
        <v>223</v>
      </c>
      <c r="AT98" s="41" t="s">
        <v>247</v>
      </c>
      <c r="AU98" s="38"/>
      <c r="AV98" s="38"/>
      <c r="AW98" s="38"/>
    </row>
    <row r="99" spans="2:49">
      <c r="B99" s="39"/>
      <c r="C99" s="39"/>
      <c r="D99" s="39"/>
      <c r="E99" s="39"/>
      <c r="F99" s="39"/>
      <c r="G99" s="39"/>
      <c r="H99" s="39"/>
      <c r="AS99" s="40" t="s">
        <v>223</v>
      </c>
      <c r="AT99" s="41" t="s">
        <v>248</v>
      </c>
      <c r="AU99" s="38"/>
      <c r="AV99" s="38"/>
      <c r="AW99" s="38"/>
    </row>
    <row r="100" spans="2:49">
      <c r="B100" s="39"/>
      <c r="C100" s="39"/>
      <c r="D100" s="39"/>
      <c r="E100" s="39"/>
      <c r="F100" s="39"/>
      <c r="G100" s="39"/>
      <c r="H100" s="39"/>
      <c r="AS100" s="40" t="s">
        <v>223</v>
      </c>
      <c r="AT100" s="41" t="s">
        <v>249</v>
      </c>
      <c r="AU100" s="38"/>
      <c r="AV100" s="38"/>
      <c r="AW100" s="38"/>
    </row>
    <row r="101" spans="2:49">
      <c r="B101" s="39"/>
      <c r="C101" s="39"/>
      <c r="D101" s="39"/>
      <c r="E101" s="39"/>
      <c r="F101" s="39"/>
      <c r="G101" s="39"/>
      <c r="H101" s="39"/>
      <c r="AS101" s="40" t="s">
        <v>223</v>
      </c>
      <c r="AT101" s="41" t="s">
        <v>250</v>
      </c>
      <c r="AU101" s="38"/>
      <c r="AV101" s="38"/>
      <c r="AW101" s="38"/>
    </row>
    <row r="102" spans="2:49">
      <c r="B102" s="39"/>
      <c r="C102" s="39"/>
      <c r="D102" s="39"/>
      <c r="E102" s="39"/>
      <c r="F102" s="39"/>
      <c r="G102" s="39"/>
      <c r="H102" s="39"/>
      <c r="AS102" s="40" t="s">
        <v>223</v>
      </c>
      <c r="AT102" s="41" t="s">
        <v>251</v>
      </c>
      <c r="AU102" s="38"/>
      <c r="AV102" s="38"/>
      <c r="AW102" s="38"/>
    </row>
    <row r="103" spans="2:49">
      <c r="B103" s="39"/>
      <c r="C103" s="39"/>
      <c r="D103" s="39"/>
      <c r="E103" s="39"/>
      <c r="F103" s="39"/>
      <c r="G103" s="39"/>
      <c r="H103" s="39"/>
      <c r="AS103" s="40" t="s">
        <v>223</v>
      </c>
      <c r="AT103" s="41" t="s">
        <v>252</v>
      </c>
      <c r="AU103" s="38"/>
      <c r="AV103" s="38"/>
      <c r="AW103" s="38"/>
    </row>
    <row r="104" spans="2:49">
      <c r="B104" s="39"/>
      <c r="C104" s="39"/>
      <c r="D104" s="39"/>
      <c r="E104" s="39"/>
      <c r="F104" s="39"/>
      <c r="G104" s="39"/>
      <c r="H104" s="39"/>
      <c r="AS104" s="40" t="s">
        <v>223</v>
      </c>
      <c r="AT104" s="41" t="s">
        <v>253</v>
      </c>
      <c r="AU104" s="38"/>
      <c r="AV104" s="38"/>
      <c r="AW104" s="38"/>
    </row>
    <row r="105" spans="2:49">
      <c r="B105" s="39"/>
      <c r="C105" s="39"/>
      <c r="D105" s="39"/>
      <c r="E105" s="39"/>
      <c r="F105" s="39"/>
      <c r="G105" s="39"/>
      <c r="H105" s="39"/>
      <c r="AS105" s="40" t="s">
        <v>223</v>
      </c>
      <c r="AT105" s="41" t="s">
        <v>254</v>
      </c>
      <c r="AU105" s="38"/>
      <c r="AV105" s="38"/>
      <c r="AW105" s="38"/>
    </row>
    <row r="106" spans="2:49">
      <c r="B106" s="39"/>
      <c r="C106" s="39"/>
      <c r="D106" s="39"/>
      <c r="E106" s="39"/>
      <c r="F106" s="39"/>
      <c r="G106" s="39"/>
      <c r="H106" s="39"/>
      <c r="AS106" s="40" t="s">
        <v>223</v>
      </c>
      <c r="AT106" s="41" t="s">
        <v>255</v>
      </c>
      <c r="AU106" s="38"/>
      <c r="AV106" s="38"/>
      <c r="AW106" s="38"/>
    </row>
    <row r="107" spans="2:49">
      <c r="B107" s="39"/>
      <c r="C107" s="39"/>
      <c r="D107" s="39"/>
      <c r="E107" s="39"/>
      <c r="F107" s="39"/>
      <c r="G107" s="39"/>
      <c r="H107" s="39"/>
      <c r="AS107" s="40" t="s">
        <v>223</v>
      </c>
      <c r="AT107" s="41" t="s">
        <v>256</v>
      </c>
      <c r="AU107" s="38"/>
      <c r="AV107" s="38"/>
      <c r="AW107" s="38"/>
    </row>
    <row r="108" spans="2:49">
      <c r="B108" s="39"/>
      <c r="C108" s="39"/>
      <c r="D108" s="39"/>
      <c r="E108" s="39"/>
      <c r="F108" s="39"/>
      <c r="G108" s="39"/>
      <c r="H108" s="39"/>
      <c r="AS108" s="40" t="s">
        <v>223</v>
      </c>
      <c r="AT108" s="41" t="s">
        <v>257</v>
      </c>
      <c r="AU108" s="38"/>
      <c r="AV108" s="38"/>
      <c r="AW108" s="38"/>
    </row>
    <row r="109" spans="2:49">
      <c r="B109" s="39"/>
      <c r="C109" s="39"/>
      <c r="D109" s="39"/>
      <c r="E109" s="39"/>
      <c r="F109" s="39"/>
      <c r="G109" s="39"/>
      <c r="H109" s="39"/>
      <c r="AS109" s="40" t="s">
        <v>223</v>
      </c>
      <c r="AT109" s="41" t="s">
        <v>258</v>
      </c>
      <c r="AU109" s="38"/>
      <c r="AV109" s="38"/>
      <c r="AW109" s="38"/>
    </row>
    <row r="110" spans="2:49">
      <c r="B110" s="39"/>
      <c r="C110" s="39"/>
      <c r="D110" s="39"/>
      <c r="E110" s="39"/>
      <c r="F110" s="39"/>
      <c r="G110" s="39"/>
      <c r="H110" s="39"/>
      <c r="AS110" s="40" t="s">
        <v>223</v>
      </c>
      <c r="AT110" s="41" t="s">
        <v>259</v>
      </c>
      <c r="AU110" s="38"/>
      <c r="AV110" s="38"/>
      <c r="AW110" s="38"/>
    </row>
    <row r="111" spans="2:49">
      <c r="B111" s="39"/>
      <c r="C111" s="39"/>
      <c r="D111" s="39"/>
      <c r="E111" s="39"/>
      <c r="F111" s="39"/>
      <c r="G111" s="39"/>
      <c r="H111" s="39"/>
      <c r="AS111" s="40" t="s">
        <v>223</v>
      </c>
      <c r="AT111" s="41" t="s">
        <v>260</v>
      </c>
      <c r="AU111" s="38"/>
      <c r="AV111" s="38"/>
      <c r="AW111" s="38"/>
    </row>
    <row r="112" spans="2:49">
      <c r="B112" s="39"/>
      <c r="C112" s="39"/>
      <c r="D112" s="39"/>
      <c r="E112" s="39"/>
      <c r="F112" s="39"/>
      <c r="G112" s="39"/>
      <c r="H112" s="39"/>
      <c r="AS112" s="40" t="s">
        <v>223</v>
      </c>
      <c r="AT112" s="41" t="s">
        <v>261</v>
      </c>
      <c r="AU112" s="38"/>
      <c r="AV112" s="38"/>
      <c r="AW112" s="38"/>
    </row>
    <row r="113" spans="2:49">
      <c r="B113" s="39"/>
      <c r="C113" s="39"/>
      <c r="D113" s="39"/>
      <c r="E113" s="39"/>
      <c r="F113" s="39"/>
      <c r="G113" s="39"/>
      <c r="H113" s="39"/>
      <c r="AS113" s="40" t="s">
        <v>262</v>
      </c>
      <c r="AT113" s="41" t="s">
        <v>262</v>
      </c>
      <c r="AU113" s="38"/>
      <c r="AV113" s="38"/>
      <c r="AW113" s="38"/>
    </row>
    <row r="114" spans="2:49">
      <c r="B114" s="39"/>
      <c r="C114" s="39"/>
      <c r="D114" s="39"/>
      <c r="E114" s="39"/>
      <c r="F114" s="39"/>
      <c r="G114" s="39"/>
      <c r="H114" s="39"/>
      <c r="AS114" s="40" t="s">
        <v>263</v>
      </c>
      <c r="AT114" s="41" t="s">
        <v>264</v>
      </c>
      <c r="AU114" s="38"/>
      <c r="AV114" s="38"/>
      <c r="AW114" s="38"/>
    </row>
    <row r="115" spans="2:49">
      <c r="B115" s="39"/>
      <c r="C115" s="39"/>
      <c r="D115" s="39"/>
      <c r="E115" s="39"/>
      <c r="F115" s="39"/>
      <c r="G115" s="39"/>
      <c r="H115" s="39"/>
      <c r="AS115" s="40" t="s">
        <v>263</v>
      </c>
      <c r="AT115" s="41" t="s">
        <v>265</v>
      </c>
      <c r="AU115" s="38"/>
      <c r="AV115" s="38"/>
      <c r="AW115" s="38"/>
    </row>
    <row r="116" spans="2:49">
      <c r="B116" s="39"/>
      <c r="C116" s="39"/>
      <c r="D116" s="39"/>
      <c r="E116" s="39"/>
      <c r="F116" s="39"/>
      <c r="G116" s="39"/>
      <c r="H116" s="39"/>
      <c r="AS116" s="40" t="s">
        <v>263</v>
      </c>
      <c r="AT116" s="41" t="s">
        <v>266</v>
      </c>
      <c r="AU116" s="38"/>
      <c r="AV116" s="38"/>
      <c r="AW116" s="38"/>
    </row>
    <row r="117" spans="2:49">
      <c r="B117" s="39"/>
      <c r="C117" s="39"/>
      <c r="D117" s="39"/>
      <c r="E117" s="39"/>
      <c r="F117" s="39"/>
      <c r="G117" s="39"/>
      <c r="H117" s="39"/>
      <c r="AS117" s="40" t="s">
        <v>263</v>
      </c>
      <c r="AT117" s="41" t="s">
        <v>267</v>
      </c>
      <c r="AU117" s="38"/>
      <c r="AV117" s="38"/>
      <c r="AW117" s="38"/>
    </row>
    <row r="118" spans="2:49">
      <c r="B118" s="39"/>
      <c r="C118" s="39"/>
      <c r="D118" s="39"/>
      <c r="E118" s="39"/>
      <c r="F118" s="39"/>
      <c r="G118" s="39"/>
      <c r="H118" s="39"/>
      <c r="AS118" s="40" t="s">
        <v>263</v>
      </c>
      <c r="AT118" s="41" t="s">
        <v>268</v>
      </c>
      <c r="AU118" s="38"/>
      <c r="AV118" s="38"/>
      <c r="AW118" s="38"/>
    </row>
    <row r="119" spans="2:49">
      <c r="B119" s="39"/>
      <c r="C119" s="39"/>
      <c r="D119" s="39"/>
      <c r="E119" s="39"/>
      <c r="F119" s="39"/>
      <c r="G119" s="39"/>
      <c r="H119" s="39"/>
      <c r="AS119" s="40" t="s">
        <v>263</v>
      </c>
      <c r="AT119" s="41" t="s">
        <v>269</v>
      </c>
      <c r="AU119" s="38"/>
      <c r="AV119" s="38"/>
      <c r="AW119" s="38"/>
    </row>
    <row r="120" spans="2:49">
      <c r="B120" s="39"/>
      <c r="C120" s="39"/>
      <c r="D120" s="39"/>
      <c r="E120" s="39"/>
      <c r="F120" s="39"/>
      <c r="G120" s="39"/>
      <c r="H120" s="39"/>
      <c r="AS120" s="40" t="s">
        <v>263</v>
      </c>
      <c r="AT120" s="41" t="s">
        <v>270</v>
      </c>
      <c r="AU120" s="38"/>
      <c r="AV120" s="38"/>
      <c r="AW120" s="38"/>
    </row>
    <row r="121" spans="2:49">
      <c r="B121" s="39"/>
      <c r="C121" s="39"/>
      <c r="D121" s="39"/>
      <c r="E121" s="39"/>
      <c r="F121" s="39"/>
      <c r="G121" s="39"/>
      <c r="H121" s="39"/>
      <c r="AS121" s="40" t="s">
        <v>263</v>
      </c>
      <c r="AT121" s="41" t="s">
        <v>271</v>
      </c>
      <c r="AU121" s="38"/>
      <c r="AV121" s="38"/>
      <c r="AW121" s="38"/>
    </row>
    <row r="122" spans="2:49">
      <c r="AS122" s="40" t="s">
        <v>263</v>
      </c>
      <c r="AT122" s="41" t="s">
        <v>272</v>
      </c>
      <c r="AU122" s="38"/>
      <c r="AV122" s="38"/>
      <c r="AW122" s="38"/>
    </row>
    <row r="123" spans="2:49">
      <c r="AS123" s="40" t="s">
        <v>263</v>
      </c>
      <c r="AT123" s="41" t="s">
        <v>273</v>
      </c>
      <c r="AU123" s="38"/>
      <c r="AV123" s="38"/>
      <c r="AW123" s="38"/>
    </row>
    <row r="124" spans="2:49">
      <c r="AS124" s="40" t="s">
        <v>263</v>
      </c>
      <c r="AT124" s="41" t="s">
        <v>274</v>
      </c>
      <c r="AU124" s="38"/>
      <c r="AV124" s="38"/>
      <c r="AW124" s="38"/>
    </row>
    <row r="125" spans="2:49">
      <c r="AS125" s="40" t="s">
        <v>263</v>
      </c>
      <c r="AT125" s="41" t="s">
        <v>275</v>
      </c>
      <c r="AU125" s="38"/>
      <c r="AV125" s="38"/>
      <c r="AW125" s="38"/>
    </row>
    <row r="126" spans="2:49">
      <c r="AS126" s="40" t="s">
        <v>263</v>
      </c>
      <c r="AT126" s="41" t="s">
        <v>276</v>
      </c>
      <c r="AU126" s="38"/>
      <c r="AV126" s="38"/>
      <c r="AW126" s="38"/>
    </row>
    <row r="127" spans="2:49">
      <c r="AS127" s="40" t="s">
        <v>263</v>
      </c>
      <c r="AT127" s="41" t="s">
        <v>277</v>
      </c>
      <c r="AU127" s="38"/>
      <c r="AV127" s="38"/>
      <c r="AW127" s="38"/>
    </row>
    <row r="128" spans="2:49">
      <c r="AS128" s="40" t="s">
        <v>263</v>
      </c>
      <c r="AT128" s="41" t="s">
        <v>278</v>
      </c>
      <c r="AU128" s="38"/>
      <c r="AV128" s="38"/>
      <c r="AW128" s="38"/>
    </row>
    <row r="129" spans="45:49">
      <c r="AS129" s="40" t="s">
        <v>263</v>
      </c>
      <c r="AT129" s="41" t="s">
        <v>279</v>
      </c>
      <c r="AU129" s="38"/>
      <c r="AV129" s="38"/>
      <c r="AW129" s="38"/>
    </row>
    <row r="130" spans="45:49">
      <c r="AS130" s="40" t="s">
        <v>263</v>
      </c>
      <c r="AT130" s="41" t="s">
        <v>280</v>
      </c>
      <c r="AU130" s="38"/>
      <c r="AV130" s="38"/>
      <c r="AW130" s="38"/>
    </row>
    <row r="131" spans="45:49">
      <c r="AS131" s="40" t="s">
        <v>263</v>
      </c>
      <c r="AT131" s="41" t="s">
        <v>281</v>
      </c>
      <c r="AU131" s="38"/>
      <c r="AV131" s="38"/>
      <c r="AW131" s="38"/>
    </row>
    <row r="132" spans="45:49">
      <c r="AS132" s="40" t="s">
        <v>263</v>
      </c>
      <c r="AT132" s="41" t="s">
        <v>282</v>
      </c>
      <c r="AU132" s="38"/>
      <c r="AV132" s="38"/>
      <c r="AW132" s="38"/>
    </row>
    <row r="133" spans="45:49">
      <c r="AS133" s="40" t="s">
        <v>263</v>
      </c>
      <c r="AT133" s="41" t="s">
        <v>283</v>
      </c>
      <c r="AU133" s="38"/>
      <c r="AV133" s="38"/>
      <c r="AW133" s="38"/>
    </row>
    <row r="134" spans="45:49">
      <c r="AS134" s="40" t="s">
        <v>263</v>
      </c>
      <c r="AT134" s="41" t="s">
        <v>284</v>
      </c>
      <c r="AU134" s="38"/>
      <c r="AV134" s="38"/>
      <c r="AW134" s="38"/>
    </row>
    <row r="135" spans="45:49">
      <c r="AS135" s="40" t="s">
        <v>263</v>
      </c>
      <c r="AT135" s="41" t="s">
        <v>285</v>
      </c>
      <c r="AU135" s="38"/>
      <c r="AV135" s="38"/>
      <c r="AW135" s="38"/>
    </row>
    <row r="136" spans="45:49">
      <c r="AS136" s="40" t="s">
        <v>263</v>
      </c>
      <c r="AT136" s="41" t="s">
        <v>286</v>
      </c>
      <c r="AU136" s="38"/>
      <c r="AV136" s="38"/>
      <c r="AW136" s="38"/>
    </row>
    <row r="137" spans="45:49">
      <c r="AS137" s="40" t="s">
        <v>263</v>
      </c>
      <c r="AT137" s="41" t="s">
        <v>287</v>
      </c>
      <c r="AU137" s="38"/>
      <c r="AV137" s="38"/>
      <c r="AW137" s="38"/>
    </row>
    <row r="138" spans="45:49">
      <c r="AS138" s="40" t="s">
        <v>263</v>
      </c>
      <c r="AT138" s="41" t="s">
        <v>288</v>
      </c>
      <c r="AU138" s="38"/>
      <c r="AV138" s="38"/>
      <c r="AW138" s="38"/>
    </row>
    <row r="139" spans="45:49">
      <c r="AS139" s="40" t="s">
        <v>263</v>
      </c>
      <c r="AT139" s="41" t="s">
        <v>289</v>
      </c>
      <c r="AU139" s="38"/>
      <c r="AV139" s="38"/>
      <c r="AW139" s="38"/>
    </row>
    <row r="140" spans="45:49">
      <c r="AS140" s="40" t="s">
        <v>263</v>
      </c>
      <c r="AT140" s="41" t="s">
        <v>290</v>
      </c>
      <c r="AU140" s="38"/>
      <c r="AV140" s="38"/>
      <c r="AW140" s="38"/>
    </row>
    <row r="141" spans="45:49">
      <c r="AS141" s="40" t="s">
        <v>291</v>
      </c>
      <c r="AT141" s="41" t="s">
        <v>292</v>
      </c>
      <c r="AU141" s="38"/>
      <c r="AV141" s="38"/>
      <c r="AW141" s="38"/>
    </row>
    <row r="142" spans="45:49">
      <c r="AS142" s="40" t="s">
        <v>293</v>
      </c>
      <c r="AT142" s="41" t="s">
        <v>294</v>
      </c>
      <c r="AU142" s="38"/>
      <c r="AV142" s="38"/>
      <c r="AW142" s="38"/>
    </row>
    <row r="143" spans="45:49">
      <c r="AS143" s="40" t="s">
        <v>293</v>
      </c>
      <c r="AT143" s="41" t="s">
        <v>295</v>
      </c>
      <c r="AU143" s="38"/>
      <c r="AV143" s="38"/>
      <c r="AW143" s="38"/>
    </row>
    <row r="144" spans="45:49">
      <c r="AS144" s="40" t="s">
        <v>296</v>
      </c>
      <c r="AT144" s="41" t="s">
        <v>297</v>
      </c>
      <c r="AU144" s="38"/>
      <c r="AV144" s="38"/>
      <c r="AW144" s="38"/>
    </row>
    <row r="145" spans="45:49">
      <c r="AS145" s="40" t="s">
        <v>296</v>
      </c>
      <c r="AT145" s="41" t="s">
        <v>298</v>
      </c>
      <c r="AU145" s="38"/>
      <c r="AV145" s="38"/>
      <c r="AW145" s="38"/>
    </row>
    <row r="146" spans="45:49">
      <c r="AS146" s="40" t="s">
        <v>296</v>
      </c>
      <c r="AT146" s="41" t="s">
        <v>299</v>
      </c>
      <c r="AU146" s="38"/>
      <c r="AV146" s="38"/>
      <c r="AW146" s="38"/>
    </row>
    <row r="147" spans="45:49">
      <c r="AS147" s="40" t="s">
        <v>296</v>
      </c>
      <c r="AT147" s="41" t="s">
        <v>300</v>
      </c>
      <c r="AU147" s="38"/>
      <c r="AV147" s="38"/>
      <c r="AW147" s="38"/>
    </row>
    <row r="148" spans="45:49">
      <c r="AS148" s="40" t="s">
        <v>296</v>
      </c>
      <c r="AT148" s="41" t="s">
        <v>301</v>
      </c>
      <c r="AU148" s="38"/>
      <c r="AV148" s="38"/>
      <c r="AW148" s="38"/>
    </row>
    <row r="149" spans="45:49">
      <c r="AS149" s="40" t="s">
        <v>296</v>
      </c>
      <c r="AT149" s="41" t="s">
        <v>302</v>
      </c>
      <c r="AU149" s="38"/>
      <c r="AV149" s="38"/>
      <c r="AW149" s="38"/>
    </row>
    <row r="150" spans="45:49">
      <c r="AS150" s="40" t="s">
        <v>296</v>
      </c>
      <c r="AT150" s="41" t="s">
        <v>303</v>
      </c>
      <c r="AU150" s="38"/>
      <c r="AV150" s="38"/>
      <c r="AW150" s="38"/>
    </row>
    <row r="151" spans="45:49">
      <c r="AS151" s="40" t="s">
        <v>296</v>
      </c>
      <c r="AT151" s="41" t="s">
        <v>304</v>
      </c>
      <c r="AU151" s="38"/>
      <c r="AV151" s="38"/>
      <c r="AW151" s="38"/>
    </row>
    <row r="152" spans="45:49">
      <c r="AS152" s="40" t="s">
        <v>296</v>
      </c>
      <c r="AT152" s="41" t="s">
        <v>305</v>
      </c>
      <c r="AU152" s="38"/>
      <c r="AV152" s="38"/>
      <c r="AW152" s="38"/>
    </row>
    <row r="153" spans="45:49">
      <c r="AS153" s="40" t="s">
        <v>296</v>
      </c>
      <c r="AT153" s="41" t="s">
        <v>306</v>
      </c>
      <c r="AU153" s="38"/>
      <c r="AV153" s="38"/>
      <c r="AW153" s="38"/>
    </row>
    <row r="154" spans="45:49">
      <c r="AS154" s="40" t="s">
        <v>296</v>
      </c>
      <c r="AT154" s="41" t="s">
        <v>307</v>
      </c>
      <c r="AU154" s="38"/>
      <c r="AV154" s="38"/>
      <c r="AW154" s="38"/>
    </row>
    <row r="155" spans="45:49">
      <c r="AS155" s="40" t="s">
        <v>308</v>
      </c>
      <c r="AT155" s="41" t="s">
        <v>309</v>
      </c>
      <c r="AU155" s="38"/>
      <c r="AV155" s="38"/>
      <c r="AW155" s="38"/>
    </row>
    <row r="156" spans="45:49">
      <c r="AS156" s="40" t="s">
        <v>308</v>
      </c>
      <c r="AT156" s="41" t="s">
        <v>310</v>
      </c>
      <c r="AU156" s="38"/>
      <c r="AV156" s="38"/>
      <c r="AW156" s="38"/>
    </row>
    <row r="157" spans="45:49">
      <c r="AS157" s="40" t="s">
        <v>311</v>
      </c>
      <c r="AT157" s="41" t="s">
        <v>312</v>
      </c>
      <c r="AU157" s="38"/>
      <c r="AV157" s="38"/>
      <c r="AW157" s="38"/>
    </row>
    <row r="158" spans="45:49">
      <c r="AS158" s="40" t="s">
        <v>311</v>
      </c>
      <c r="AT158" s="41" t="s">
        <v>313</v>
      </c>
      <c r="AU158" s="38"/>
      <c r="AV158" s="38"/>
      <c r="AW158" s="38"/>
    </row>
    <row r="159" spans="45:49">
      <c r="AS159" s="40" t="s">
        <v>311</v>
      </c>
      <c r="AT159" s="41" t="s">
        <v>314</v>
      </c>
      <c r="AU159" s="38"/>
      <c r="AV159" s="38"/>
      <c r="AW159" s="38"/>
    </row>
    <row r="160" spans="45:49">
      <c r="AS160" s="40" t="s">
        <v>311</v>
      </c>
      <c r="AT160" s="41" t="s">
        <v>315</v>
      </c>
      <c r="AU160" s="38"/>
      <c r="AV160" s="38"/>
      <c r="AW160" s="38"/>
    </row>
    <row r="161" spans="45:49">
      <c r="AS161" s="40" t="s">
        <v>311</v>
      </c>
      <c r="AT161" s="41" t="s">
        <v>316</v>
      </c>
      <c r="AU161" s="38"/>
      <c r="AV161" s="38"/>
      <c r="AW161" s="38"/>
    </row>
    <row r="162" spans="45:49">
      <c r="AS162" s="40" t="s">
        <v>311</v>
      </c>
      <c r="AT162" s="41" t="s">
        <v>317</v>
      </c>
      <c r="AU162" s="38"/>
      <c r="AV162" s="38"/>
      <c r="AW162" s="38"/>
    </row>
    <row r="163" spans="45:49">
      <c r="AS163" s="40" t="s">
        <v>311</v>
      </c>
      <c r="AT163" s="41" t="s">
        <v>318</v>
      </c>
      <c r="AU163" s="38"/>
      <c r="AV163" s="38"/>
      <c r="AW163" s="38"/>
    </row>
    <row r="164" spans="45:49">
      <c r="AS164" s="40" t="s">
        <v>311</v>
      </c>
      <c r="AT164" s="41" t="s">
        <v>319</v>
      </c>
      <c r="AU164" s="38"/>
      <c r="AV164" s="38"/>
      <c r="AW164" s="38"/>
    </row>
    <row r="165" spans="45:49">
      <c r="AS165" s="40" t="s">
        <v>311</v>
      </c>
      <c r="AT165" s="41" t="s">
        <v>320</v>
      </c>
      <c r="AU165" s="38"/>
      <c r="AV165" s="38"/>
      <c r="AW165" s="38"/>
    </row>
    <row r="166" spans="45:49">
      <c r="AS166" s="40" t="s">
        <v>311</v>
      </c>
      <c r="AT166" s="41" t="s">
        <v>321</v>
      </c>
      <c r="AU166" s="38"/>
      <c r="AV166" s="38"/>
      <c r="AW166" s="38"/>
    </row>
    <row r="167" spans="45:49">
      <c r="AS167" s="40" t="s">
        <v>311</v>
      </c>
      <c r="AT167" s="41" t="s">
        <v>322</v>
      </c>
      <c r="AU167" s="38"/>
      <c r="AV167" s="38"/>
      <c r="AW167" s="38"/>
    </row>
    <row r="168" spans="45:49">
      <c r="AS168" s="40" t="s">
        <v>311</v>
      </c>
      <c r="AT168" s="41" t="s">
        <v>323</v>
      </c>
      <c r="AU168" s="38"/>
      <c r="AV168" s="38"/>
      <c r="AW168" s="38"/>
    </row>
    <row r="169" spans="45:49">
      <c r="AS169" s="40" t="s">
        <v>311</v>
      </c>
      <c r="AT169" s="41" t="s">
        <v>324</v>
      </c>
      <c r="AU169" s="38"/>
      <c r="AV169" s="38"/>
      <c r="AW169" s="38"/>
    </row>
    <row r="170" spans="45:49">
      <c r="AS170" s="40" t="s">
        <v>311</v>
      </c>
      <c r="AT170" s="41" t="s">
        <v>325</v>
      </c>
      <c r="AU170" s="38"/>
      <c r="AV170" s="38"/>
      <c r="AW170" s="38"/>
    </row>
    <row r="171" spans="45:49">
      <c r="AS171" s="40" t="s">
        <v>311</v>
      </c>
      <c r="AT171" s="41" t="s">
        <v>326</v>
      </c>
      <c r="AU171" s="38"/>
      <c r="AV171" s="38"/>
      <c r="AW171" s="38"/>
    </row>
    <row r="172" spans="45:49">
      <c r="AS172" s="40" t="s">
        <v>311</v>
      </c>
      <c r="AT172" s="41" t="s">
        <v>327</v>
      </c>
      <c r="AU172" s="38"/>
      <c r="AV172" s="38"/>
      <c r="AW172" s="38"/>
    </row>
    <row r="173" spans="45:49">
      <c r="AS173" s="40" t="s">
        <v>311</v>
      </c>
      <c r="AT173" s="41" t="s">
        <v>328</v>
      </c>
      <c r="AU173" s="38"/>
      <c r="AV173" s="38"/>
      <c r="AW173" s="38"/>
    </row>
    <row r="174" spans="45:49">
      <c r="AS174" s="40" t="s">
        <v>311</v>
      </c>
      <c r="AT174" s="41" t="s">
        <v>329</v>
      </c>
      <c r="AU174" s="38"/>
      <c r="AV174" s="38"/>
      <c r="AW174" s="38"/>
    </row>
    <row r="175" spans="45:49">
      <c r="AS175" s="40" t="s">
        <v>311</v>
      </c>
      <c r="AT175" s="41" t="s">
        <v>330</v>
      </c>
      <c r="AU175" s="38"/>
      <c r="AV175" s="38"/>
      <c r="AW175" s="38"/>
    </row>
    <row r="176" spans="45:49">
      <c r="AS176" s="40" t="s">
        <v>311</v>
      </c>
      <c r="AT176" s="41" t="s">
        <v>331</v>
      </c>
      <c r="AU176" s="38"/>
      <c r="AV176" s="38"/>
      <c r="AW176" s="38"/>
    </row>
    <row r="177" spans="45:49">
      <c r="AS177" s="40" t="s">
        <v>311</v>
      </c>
      <c r="AT177" s="41" t="s">
        <v>332</v>
      </c>
      <c r="AU177" s="38"/>
      <c r="AV177" s="38"/>
      <c r="AW177" s="38"/>
    </row>
    <row r="178" spans="45:49">
      <c r="AS178" s="40" t="s">
        <v>311</v>
      </c>
      <c r="AT178" s="41" t="s">
        <v>333</v>
      </c>
      <c r="AU178" s="38"/>
      <c r="AV178" s="38"/>
      <c r="AW178" s="38"/>
    </row>
    <row r="179" spans="45:49">
      <c r="AS179" s="40" t="s">
        <v>311</v>
      </c>
      <c r="AT179" s="41" t="s">
        <v>334</v>
      </c>
      <c r="AU179" s="38"/>
      <c r="AV179" s="38"/>
      <c r="AW179" s="38"/>
    </row>
    <row r="180" spans="45:49">
      <c r="AS180" s="40" t="s">
        <v>311</v>
      </c>
      <c r="AT180" s="41" t="s">
        <v>335</v>
      </c>
      <c r="AU180" s="38"/>
      <c r="AV180" s="38"/>
      <c r="AW180" s="38"/>
    </row>
    <row r="181" spans="45:49">
      <c r="AS181" s="40" t="s">
        <v>311</v>
      </c>
      <c r="AT181" s="41" t="s">
        <v>336</v>
      </c>
      <c r="AU181" s="38"/>
      <c r="AV181" s="38"/>
      <c r="AW181" s="38"/>
    </row>
    <row r="182" spans="45:49">
      <c r="AS182" s="40" t="s">
        <v>311</v>
      </c>
      <c r="AT182" s="41" t="s">
        <v>337</v>
      </c>
      <c r="AU182" s="38"/>
      <c r="AV182" s="38"/>
      <c r="AW182" s="38"/>
    </row>
    <row r="183" spans="45:49">
      <c r="AS183" s="40" t="s">
        <v>311</v>
      </c>
      <c r="AT183" s="41" t="s">
        <v>338</v>
      </c>
      <c r="AU183" s="38"/>
      <c r="AV183" s="38"/>
      <c r="AW183" s="38"/>
    </row>
    <row r="184" spans="45:49">
      <c r="AS184" s="40" t="s">
        <v>311</v>
      </c>
      <c r="AT184" s="41" t="s">
        <v>339</v>
      </c>
      <c r="AU184" s="38"/>
      <c r="AV184" s="38"/>
      <c r="AW184" s="38"/>
    </row>
    <row r="185" spans="45:49">
      <c r="AS185" s="40" t="s">
        <v>311</v>
      </c>
      <c r="AT185" s="41" t="s">
        <v>340</v>
      </c>
      <c r="AU185" s="38"/>
      <c r="AV185" s="38"/>
      <c r="AW185" s="38"/>
    </row>
    <row r="186" spans="45:49">
      <c r="AS186" s="40" t="s">
        <v>311</v>
      </c>
      <c r="AT186" s="41" t="s">
        <v>341</v>
      </c>
      <c r="AU186" s="38"/>
      <c r="AV186" s="38"/>
      <c r="AW186" s="38"/>
    </row>
    <row r="187" spans="45:49">
      <c r="AS187" s="40" t="s">
        <v>311</v>
      </c>
      <c r="AT187" s="41" t="s">
        <v>342</v>
      </c>
      <c r="AU187" s="38"/>
      <c r="AV187" s="38"/>
      <c r="AW187" s="38"/>
    </row>
    <row r="188" spans="45:49">
      <c r="AS188" s="40" t="s">
        <v>311</v>
      </c>
      <c r="AT188" s="41" t="s">
        <v>343</v>
      </c>
      <c r="AU188" s="38"/>
      <c r="AV188" s="38"/>
      <c r="AW188" s="38"/>
    </row>
    <row r="189" spans="45:49">
      <c r="AS189" s="40" t="s">
        <v>311</v>
      </c>
      <c r="AT189" s="41" t="s">
        <v>344</v>
      </c>
      <c r="AU189" s="38"/>
      <c r="AV189" s="38"/>
      <c r="AW189" s="38"/>
    </row>
    <row r="190" spans="45:49">
      <c r="AS190" s="40" t="s">
        <v>345</v>
      </c>
      <c r="AT190" s="41" t="s">
        <v>346</v>
      </c>
      <c r="AU190" s="38"/>
      <c r="AV190" s="38"/>
      <c r="AW190" s="38"/>
    </row>
    <row r="191" spans="45:49">
      <c r="AS191" s="40" t="s">
        <v>345</v>
      </c>
      <c r="AT191" s="41" t="s">
        <v>347</v>
      </c>
      <c r="AU191" s="38"/>
      <c r="AV191" s="38"/>
      <c r="AW191" s="38"/>
    </row>
    <row r="192" spans="45:49">
      <c r="AS192" s="40" t="s">
        <v>345</v>
      </c>
      <c r="AT192" s="41" t="s">
        <v>348</v>
      </c>
      <c r="AU192" s="38"/>
      <c r="AV192" s="38"/>
      <c r="AW192" s="38"/>
    </row>
    <row r="193" spans="45:49">
      <c r="AS193" s="40" t="s">
        <v>345</v>
      </c>
      <c r="AT193" s="41" t="s">
        <v>349</v>
      </c>
      <c r="AU193" s="38"/>
      <c r="AV193" s="38"/>
      <c r="AW193" s="38"/>
    </row>
    <row r="194" spans="45:49">
      <c r="AS194" s="40" t="s">
        <v>345</v>
      </c>
      <c r="AT194" s="41" t="s">
        <v>350</v>
      </c>
      <c r="AU194" s="38"/>
      <c r="AV194" s="38"/>
      <c r="AW194" s="38"/>
    </row>
    <row r="195" spans="45:49">
      <c r="AS195" s="40" t="s">
        <v>345</v>
      </c>
      <c r="AT195" s="41" t="s">
        <v>351</v>
      </c>
      <c r="AU195" s="38"/>
      <c r="AV195" s="38"/>
      <c r="AW195" s="38"/>
    </row>
    <row r="196" spans="45:49">
      <c r="AS196" s="40" t="s">
        <v>345</v>
      </c>
      <c r="AT196" s="41" t="s">
        <v>352</v>
      </c>
      <c r="AU196" s="38"/>
      <c r="AV196" s="38"/>
      <c r="AW196" s="38"/>
    </row>
    <row r="197" spans="45:49">
      <c r="AS197" s="40" t="s">
        <v>345</v>
      </c>
      <c r="AT197" s="41" t="s">
        <v>353</v>
      </c>
      <c r="AU197" s="38"/>
      <c r="AV197" s="38"/>
      <c r="AW197" s="38"/>
    </row>
    <row r="198" spans="45:49">
      <c r="AS198" s="40" t="s">
        <v>345</v>
      </c>
      <c r="AT198" s="41" t="s">
        <v>354</v>
      </c>
      <c r="AU198" s="38"/>
      <c r="AV198" s="38"/>
      <c r="AW198" s="38"/>
    </row>
    <row r="199" spans="45:49">
      <c r="AS199" s="40" t="s">
        <v>345</v>
      </c>
      <c r="AT199" s="41" t="s">
        <v>355</v>
      </c>
      <c r="AU199" s="38"/>
      <c r="AV199" s="38"/>
      <c r="AW199" s="38"/>
    </row>
    <row r="200" spans="45:49">
      <c r="AS200" s="40" t="s">
        <v>345</v>
      </c>
      <c r="AT200" s="41" t="s">
        <v>356</v>
      </c>
      <c r="AU200" s="38"/>
      <c r="AV200" s="38"/>
      <c r="AW200" s="38"/>
    </row>
    <row r="201" spans="45:49">
      <c r="AS201" s="40" t="s">
        <v>345</v>
      </c>
      <c r="AT201" s="41" t="s">
        <v>357</v>
      </c>
      <c r="AU201" s="38"/>
      <c r="AV201" s="38"/>
      <c r="AW201" s="38"/>
    </row>
    <row r="202" spans="45:49">
      <c r="AS202" s="40" t="s">
        <v>345</v>
      </c>
      <c r="AT202" s="41" t="s">
        <v>358</v>
      </c>
      <c r="AU202" s="38"/>
      <c r="AV202" s="38"/>
      <c r="AW202" s="38"/>
    </row>
    <row r="203" spans="45:49">
      <c r="AS203" s="40" t="s">
        <v>345</v>
      </c>
      <c r="AT203" s="41" t="s">
        <v>359</v>
      </c>
      <c r="AU203" s="38"/>
      <c r="AV203" s="38"/>
      <c r="AW203" s="38"/>
    </row>
    <row r="204" spans="45:49">
      <c r="AS204" s="40" t="s">
        <v>345</v>
      </c>
      <c r="AT204" s="41" t="s">
        <v>360</v>
      </c>
      <c r="AU204" s="38"/>
      <c r="AV204" s="38"/>
      <c r="AW204" s="38"/>
    </row>
    <row r="205" spans="45:49">
      <c r="AS205" s="40" t="s">
        <v>345</v>
      </c>
      <c r="AT205" s="41" t="s">
        <v>361</v>
      </c>
      <c r="AU205" s="38"/>
      <c r="AV205" s="38"/>
      <c r="AW205" s="38"/>
    </row>
    <row r="206" spans="45:49">
      <c r="AS206" s="40" t="s">
        <v>345</v>
      </c>
      <c r="AT206" s="41" t="s">
        <v>362</v>
      </c>
      <c r="AU206" s="38"/>
      <c r="AV206" s="38"/>
      <c r="AW206" s="38"/>
    </row>
    <row r="207" spans="45:49">
      <c r="AS207" s="40" t="s">
        <v>345</v>
      </c>
      <c r="AT207" s="41" t="s">
        <v>363</v>
      </c>
      <c r="AU207" s="38"/>
      <c r="AV207" s="38"/>
      <c r="AW207" s="38"/>
    </row>
    <row r="208" spans="45:49">
      <c r="AS208" s="40" t="s">
        <v>345</v>
      </c>
      <c r="AT208" s="41" t="s">
        <v>364</v>
      </c>
      <c r="AU208" s="38"/>
      <c r="AV208" s="38"/>
      <c r="AW208" s="38"/>
    </row>
    <row r="209" spans="45:49">
      <c r="AS209" s="40" t="s">
        <v>345</v>
      </c>
      <c r="AT209" s="41" t="s">
        <v>365</v>
      </c>
      <c r="AU209" s="38"/>
      <c r="AV209" s="38"/>
      <c r="AW209" s="38"/>
    </row>
    <row r="210" spans="45:49">
      <c r="AS210" s="40" t="s">
        <v>345</v>
      </c>
      <c r="AT210" s="41" t="s">
        <v>366</v>
      </c>
      <c r="AU210" s="38"/>
      <c r="AV210" s="38"/>
      <c r="AW210" s="38"/>
    </row>
    <row r="211" spans="45:49">
      <c r="AS211" s="40" t="s">
        <v>345</v>
      </c>
      <c r="AT211" s="41" t="s">
        <v>367</v>
      </c>
      <c r="AU211" s="38"/>
      <c r="AV211" s="38"/>
      <c r="AW211" s="38"/>
    </row>
    <row r="212" spans="45:49">
      <c r="AS212" s="40" t="s">
        <v>368</v>
      </c>
      <c r="AT212" s="41" t="s">
        <v>369</v>
      </c>
      <c r="AU212" s="38"/>
      <c r="AV212" s="38"/>
      <c r="AW212" s="38"/>
    </row>
    <row r="213" spans="45:49">
      <c r="AS213" s="40" t="s">
        <v>368</v>
      </c>
      <c r="AT213" s="41" t="s">
        <v>370</v>
      </c>
      <c r="AU213" s="38"/>
      <c r="AV213" s="38"/>
      <c r="AW213" s="38"/>
    </row>
    <row r="214" spans="45:49">
      <c r="AS214" s="40" t="s">
        <v>368</v>
      </c>
      <c r="AT214" s="41" t="s">
        <v>371</v>
      </c>
      <c r="AU214" s="38"/>
      <c r="AV214" s="38"/>
      <c r="AW214" s="38"/>
    </row>
    <row r="215" spans="45:49">
      <c r="AS215" s="40" t="s">
        <v>368</v>
      </c>
      <c r="AT215" s="41" t="s">
        <v>372</v>
      </c>
      <c r="AU215" s="38"/>
      <c r="AV215" s="38"/>
      <c r="AW215" s="38"/>
    </row>
    <row r="216" spans="45:49">
      <c r="AS216" s="40" t="s">
        <v>368</v>
      </c>
      <c r="AT216" s="41" t="s">
        <v>373</v>
      </c>
      <c r="AU216" s="38"/>
      <c r="AV216" s="38"/>
      <c r="AW216" s="38"/>
    </row>
    <row r="217" spans="45:49">
      <c r="AS217" s="40" t="s">
        <v>368</v>
      </c>
      <c r="AT217" s="41" t="s">
        <v>374</v>
      </c>
      <c r="AU217" s="38"/>
      <c r="AV217" s="38"/>
      <c r="AW217" s="38"/>
    </row>
    <row r="218" spans="45:49">
      <c r="AS218" s="40" t="s">
        <v>368</v>
      </c>
      <c r="AT218" s="41" t="s">
        <v>375</v>
      </c>
      <c r="AU218" s="38"/>
      <c r="AV218" s="38"/>
      <c r="AW218" s="38"/>
    </row>
    <row r="219" spans="45:49">
      <c r="AS219" s="40" t="s">
        <v>368</v>
      </c>
      <c r="AT219" s="41" t="s">
        <v>376</v>
      </c>
      <c r="AU219" s="38"/>
      <c r="AV219" s="38"/>
      <c r="AW219" s="38"/>
    </row>
    <row r="220" spans="45:49">
      <c r="AS220" s="40" t="s">
        <v>368</v>
      </c>
      <c r="AT220" s="41" t="s">
        <v>377</v>
      </c>
      <c r="AU220" s="38"/>
      <c r="AV220" s="38"/>
      <c r="AW220" s="38"/>
    </row>
    <row r="221" spans="45:49">
      <c r="AS221" s="40" t="s">
        <v>368</v>
      </c>
      <c r="AT221" s="41" t="s">
        <v>378</v>
      </c>
      <c r="AU221" s="38"/>
      <c r="AV221" s="38"/>
      <c r="AW221" s="38"/>
    </row>
    <row r="222" spans="45:49">
      <c r="AS222" s="40" t="s">
        <v>368</v>
      </c>
      <c r="AT222" s="41" t="s">
        <v>379</v>
      </c>
      <c r="AU222" s="38"/>
      <c r="AV222" s="38"/>
      <c r="AW222" s="38"/>
    </row>
    <row r="223" spans="45:49">
      <c r="AS223" s="40" t="s">
        <v>368</v>
      </c>
      <c r="AT223" s="41" t="s">
        <v>380</v>
      </c>
      <c r="AU223" s="38"/>
      <c r="AV223" s="38"/>
      <c r="AW223" s="38"/>
    </row>
    <row r="224" spans="45:49">
      <c r="AS224" s="40" t="s">
        <v>381</v>
      </c>
      <c r="AT224" s="41" t="s">
        <v>382</v>
      </c>
      <c r="AU224" s="38"/>
      <c r="AV224" s="38"/>
      <c r="AW224" s="38"/>
    </row>
    <row r="225" spans="45:49">
      <c r="AS225" s="40" t="s">
        <v>381</v>
      </c>
      <c r="AT225" s="41" t="s">
        <v>383</v>
      </c>
      <c r="AU225" s="38"/>
      <c r="AV225" s="38"/>
      <c r="AW225" s="38"/>
    </row>
    <row r="226" spans="45:49">
      <c r="AS226" s="40" t="s">
        <v>381</v>
      </c>
      <c r="AT226" s="41" t="s">
        <v>384</v>
      </c>
      <c r="AU226" s="38"/>
      <c r="AV226" s="38"/>
      <c r="AW226" s="38"/>
    </row>
    <row r="227" spans="45:49">
      <c r="AS227" s="40" t="s">
        <v>381</v>
      </c>
      <c r="AT227" s="41" t="s">
        <v>385</v>
      </c>
      <c r="AU227" s="38"/>
      <c r="AV227" s="38"/>
      <c r="AW227" s="38"/>
    </row>
    <row r="228" spans="45:49">
      <c r="AS228" s="40" t="s">
        <v>381</v>
      </c>
      <c r="AT228" s="41" t="s">
        <v>386</v>
      </c>
      <c r="AU228" s="38"/>
      <c r="AV228" s="38"/>
      <c r="AW228" s="38"/>
    </row>
    <row r="229" spans="45:49">
      <c r="AS229" s="40" t="s">
        <v>381</v>
      </c>
      <c r="AT229" s="41" t="s">
        <v>387</v>
      </c>
      <c r="AU229" s="38"/>
      <c r="AV229" s="38"/>
      <c r="AW229" s="38"/>
    </row>
    <row r="230" spans="45:49">
      <c r="AS230" s="40" t="s">
        <v>381</v>
      </c>
      <c r="AT230" s="41" t="s">
        <v>388</v>
      </c>
      <c r="AU230" s="38"/>
      <c r="AV230" s="38"/>
      <c r="AW230" s="38"/>
    </row>
    <row r="231" spans="45:49">
      <c r="AS231" s="40" t="s">
        <v>381</v>
      </c>
      <c r="AT231" s="41" t="s">
        <v>389</v>
      </c>
      <c r="AU231" s="38"/>
      <c r="AV231" s="38"/>
      <c r="AW231" s="38"/>
    </row>
    <row r="232" spans="45:49">
      <c r="AS232" s="40" t="s">
        <v>381</v>
      </c>
      <c r="AT232" s="41" t="s">
        <v>390</v>
      </c>
      <c r="AU232" s="38"/>
      <c r="AV232" s="38"/>
      <c r="AW232" s="38"/>
    </row>
    <row r="233" spans="45:49">
      <c r="AS233" s="40" t="s">
        <v>381</v>
      </c>
      <c r="AT233" s="41" t="s">
        <v>391</v>
      </c>
      <c r="AU233" s="38"/>
      <c r="AV233" s="38"/>
      <c r="AW233" s="38"/>
    </row>
    <row r="234" spans="45:49">
      <c r="AS234" s="40" t="s">
        <v>381</v>
      </c>
      <c r="AT234" s="41" t="s">
        <v>392</v>
      </c>
      <c r="AU234" s="38"/>
      <c r="AV234" s="38"/>
      <c r="AW234" s="38"/>
    </row>
    <row r="235" spans="45:49">
      <c r="AS235" s="40" t="s">
        <v>381</v>
      </c>
      <c r="AT235" s="41" t="s">
        <v>393</v>
      </c>
      <c r="AU235" s="38"/>
      <c r="AV235" s="38"/>
      <c r="AW235" s="38"/>
    </row>
    <row r="236" spans="45:49">
      <c r="AS236" s="40" t="s">
        <v>381</v>
      </c>
      <c r="AT236" s="41" t="s">
        <v>394</v>
      </c>
      <c r="AU236" s="38"/>
      <c r="AV236" s="38"/>
      <c r="AW236" s="38"/>
    </row>
    <row r="237" spans="45:49">
      <c r="AS237" s="40" t="s">
        <v>381</v>
      </c>
      <c r="AT237" s="41" t="s">
        <v>395</v>
      </c>
      <c r="AU237" s="38"/>
      <c r="AV237" s="38"/>
      <c r="AW237" s="38"/>
    </row>
    <row r="238" spans="45:49">
      <c r="AS238" s="40" t="s">
        <v>381</v>
      </c>
      <c r="AT238" s="41" t="s">
        <v>396</v>
      </c>
      <c r="AU238" s="38"/>
      <c r="AV238" s="38"/>
      <c r="AW238" s="38"/>
    </row>
    <row r="239" spans="45:49">
      <c r="AS239" s="40" t="s">
        <v>381</v>
      </c>
      <c r="AT239" s="41" t="s">
        <v>397</v>
      </c>
      <c r="AU239" s="38"/>
      <c r="AV239" s="38"/>
      <c r="AW239" s="38"/>
    </row>
    <row r="240" spans="45:49">
      <c r="AS240" s="40" t="s">
        <v>381</v>
      </c>
      <c r="AT240" s="41" t="s">
        <v>398</v>
      </c>
      <c r="AU240" s="38"/>
      <c r="AV240" s="38"/>
      <c r="AW240" s="38"/>
    </row>
    <row r="241" spans="45:49">
      <c r="AS241" s="40" t="s">
        <v>381</v>
      </c>
      <c r="AT241" s="41" t="s">
        <v>399</v>
      </c>
      <c r="AU241" s="38"/>
      <c r="AV241" s="38"/>
      <c r="AW241" s="38"/>
    </row>
    <row r="242" spans="45:49">
      <c r="AS242" s="40" t="s">
        <v>381</v>
      </c>
      <c r="AT242" s="41" t="s">
        <v>400</v>
      </c>
      <c r="AU242" s="38"/>
      <c r="AV242" s="38"/>
      <c r="AW242" s="38"/>
    </row>
    <row r="243" spans="45:49">
      <c r="AS243" s="40" t="s">
        <v>381</v>
      </c>
      <c r="AT243" s="41" t="s">
        <v>401</v>
      </c>
      <c r="AU243" s="38"/>
      <c r="AV243" s="38"/>
      <c r="AW243" s="38"/>
    </row>
    <row r="244" spans="45:49">
      <c r="AS244" s="40" t="s">
        <v>381</v>
      </c>
      <c r="AT244" s="41" t="s">
        <v>402</v>
      </c>
      <c r="AU244" s="38"/>
      <c r="AV244" s="38"/>
      <c r="AW244" s="38"/>
    </row>
    <row r="245" spans="45:49">
      <c r="AS245" s="40" t="s">
        <v>381</v>
      </c>
      <c r="AT245" s="41" t="s">
        <v>403</v>
      </c>
      <c r="AU245" s="38"/>
      <c r="AV245" s="38"/>
      <c r="AW245" s="38"/>
    </row>
    <row r="246" spans="45:49">
      <c r="AS246" s="40" t="s">
        <v>404</v>
      </c>
      <c r="AT246" s="41" t="s">
        <v>405</v>
      </c>
      <c r="AU246" s="38"/>
      <c r="AV246" s="38"/>
      <c r="AW246" s="38"/>
    </row>
    <row r="247" spans="45:49">
      <c r="AS247" s="40" t="s">
        <v>404</v>
      </c>
      <c r="AT247" s="41" t="s">
        <v>406</v>
      </c>
      <c r="AU247" s="38"/>
      <c r="AV247" s="38"/>
      <c r="AW247" s="38"/>
    </row>
    <row r="248" spans="45:49">
      <c r="AS248" s="40" t="s">
        <v>404</v>
      </c>
      <c r="AT248" s="41" t="s">
        <v>407</v>
      </c>
      <c r="AU248" s="38"/>
      <c r="AV248" s="38"/>
      <c r="AW248" s="38"/>
    </row>
    <row r="249" spans="45:49">
      <c r="AS249" s="40" t="s">
        <v>404</v>
      </c>
      <c r="AT249" s="41" t="s">
        <v>408</v>
      </c>
      <c r="AU249" s="38"/>
      <c r="AV249" s="38"/>
      <c r="AW249" s="38"/>
    </row>
    <row r="250" spans="45:49">
      <c r="AS250" s="40" t="s">
        <v>404</v>
      </c>
      <c r="AT250" s="41" t="s">
        <v>409</v>
      </c>
      <c r="AU250" s="38"/>
      <c r="AV250" s="38"/>
      <c r="AW250" s="38"/>
    </row>
    <row r="251" spans="45:49">
      <c r="AS251" s="40" t="s">
        <v>404</v>
      </c>
      <c r="AT251" s="41" t="s">
        <v>410</v>
      </c>
      <c r="AU251" s="38"/>
      <c r="AV251" s="38"/>
      <c r="AW251" s="38"/>
    </row>
    <row r="252" spans="45:49">
      <c r="AS252" s="40" t="s">
        <v>404</v>
      </c>
      <c r="AT252" s="41" t="s">
        <v>411</v>
      </c>
      <c r="AU252" s="38"/>
      <c r="AV252" s="38"/>
      <c r="AW252" s="38"/>
    </row>
    <row r="253" spans="45:49">
      <c r="AS253" s="40" t="s">
        <v>404</v>
      </c>
      <c r="AT253" s="41" t="s">
        <v>412</v>
      </c>
      <c r="AU253" s="38"/>
      <c r="AV253" s="38"/>
      <c r="AW253" s="38"/>
    </row>
    <row r="254" spans="45:49">
      <c r="AS254" s="40" t="s">
        <v>404</v>
      </c>
      <c r="AT254" s="41" t="s">
        <v>413</v>
      </c>
      <c r="AU254" s="38"/>
      <c r="AV254" s="38"/>
      <c r="AW254" s="38"/>
    </row>
    <row r="255" spans="45:49">
      <c r="AS255" s="40" t="s">
        <v>404</v>
      </c>
      <c r="AT255" s="41" t="s">
        <v>414</v>
      </c>
      <c r="AU255" s="38"/>
      <c r="AV255" s="38"/>
      <c r="AW255" s="38"/>
    </row>
    <row r="256" spans="45:49">
      <c r="AS256" s="40" t="s">
        <v>404</v>
      </c>
      <c r="AT256" s="41" t="s">
        <v>415</v>
      </c>
      <c r="AU256" s="38"/>
      <c r="AV256" s="38"/>
      <c r="AW256" s="38"/>
    </row>
    <row r="257" spans="45:49">
      <c r="AS257" s="40" t="s">
        <v>404</v>
      </c>
      <c r="AT257" s="41" t="s">
        <v>416</v>
      </c>
      <c r="AU257" s="38"/>
      <c r="AV257" s="38"/>
      <c r="AW257" s="38"/>
    </row>
    <row r="258" spans="45:49">
      <c r="AS258" s="40" t="s">
        <v>404</v>
      </c>
      <c r="AT258" s="41" t="s">
        <v>417</v>
      </c>
      <c r="AU258" s="38"/>
      <c r="AV258" s="38"/>
      <c r="AW258" s="38"/>
    </row>
    <row r="259" spans="45:49">
      <c r="AS259" s="40" t="s">
        <v>404</v>
      </c>
      <c r="AT259" s="41" t="s">
        <v>418</v>
      </c>
      <c r="AU259" s="38"/>
      <c r="AV259" s="38"/>
      <c r="AW259" s="38"/>
    </row>
    <row r="260" spans="45:49">
      <c r="AS260" s="40" t="s">
        <v>404</v>
      </c>
      <c r="AT260" s="41" t="s">
        <v>419</v>
      </c>
      <c r="AU260" s="38"/>
      <c r="AV260" s="38"/>
      <c r="AW260" s="38"/>
    </row>
    <row r="261" spans="45:49">
      <c r="AS261" s="40" t="s">
        <v>404</v>
      </c>
      <c r="AT261" s="41" t="s">
        <v>420</v>
      </c>
      <c r="AU261" s="38"/>
      <c r="AV261" s="38"/>
      <c r="AW261" s="38"/>
    </row>
    <row r="262" spans="45:49">
      <c r="AS262" s="40" t="s">
        <v>404</v>
      </c>
      <c r="AT262" s="41" t="s">
        <v>421</v>
      </c>
      <c r="AU262" s="38"/>
      <c r="AV262" s="38"/>
      <c r="AW262" s="38"/>
    </row>
    <row r="263" spans="45:49">
      <c r="AS263" s="40" t="s">
        <v>404</v>
      </c>
      <c r="AT263" s="41" t="s">
        <v>422</v>
      </c>
      <c r="AU263" s="38"/>
      <c r="AV263" s="38"/>
      <c r="AW263" s="38"/>
    </row>
    <row r="264" spans="45:49">
      <c r="AS264" s="40" t="s">
        <v>404</v>
      </c>
      <c r="AT264" s="41" t="s">
        <v>423</v>
      </c>
      <c r="AU264" s="38"/>
      <c r="AV264" s="38"/>
      <c r="AW264" s="38"/>
    </row>
    <row r="265" spans="45:49">
      <c r="AS265" s="40" t="s">
        <v>404</v>
      </c>
      <c r="AT265" s="41" t="s">
        <v>424</v>
      </c>
      <c r="AU265" s="38"/>
      <c r="AV265" s="38"/>
      <c r="AW265" s="38"/>
    </row>
    <row r="266" spans="45:49">
      <c r="AS266" s="40" t="s">
        <v>404</v>
      </c>
      <c r="AT266" s="41" t="s">
        <v>425</v>
      </c>
      <c r="AU266" s="38"/>
      <c r="AV266" s="38"/>
      <c r="AW266" s="38"/>
    </row>
    <row r="267" spans="45:49">
      <c r="AS267" s="40" t="s">
        <v>404</v>
      </c>
      <c r="AT267" s="41" t="s">
        <v>426</v>
      </c>
      <c r="AU267" s="38"/>
      <c r="AV267" s="38"/>
      <c r="AW267" s="38"/>
    </row>
    <row r="268" spans="45:49">
      <c r="AS268" s="40" t="s">
        <v>404</v>
      </c>
      <c r="AT268" s="41" t="s">
        <v>427</v>
      </c>
      <c r="AU268" s="38"/>
      <c r="AV268" s="38"/>
      <c r="AW268" s="38"/>
    </row>
    <row r="269" spans="45:49">
      <c r="AS269" s="40" t="s">
        <v>404</v>
      </c>
      <c r="AT269" s="41" t="s">
        <v>428</v>
      </c>
      <c r="AU269" s="38"/>
      <c r="AV269" s="38"/>
      <c r="AW269" s="38"/>
    </row>
    <row r="270" spans="45:49">
      <c r="AS270" s="40" t="s">
        <v>429</v>
      </c>
      <c r="AT270" s="41" t="s">
        <v>430</v>
      </c>
      <c r="AU270" s="38"/>
      <c r="AV270" s="38"/>
      <c r="AW270" s="38"/>
    </row>
    <row r="271" spans="45:49">
      <c r="AS271" s="40" t="s">
        <v>429</v>
      </c>
      <c r="AT271" s="41" t="s">
        <v>431</v>
      </c>
      <c r="AU271" s="38"/>
      <c r="AV271" s="38"/>
      <c r="AW271" s="38"/>
    </row>
    <row r="272" spans="45:49">
      <c r="AS272" s="40" t="s">
        <v>429</v>
      </c>
      <c r="AT272" s="41" t="s">
        <v>432</v>
      </c>
      <c r="AU272" s="38"/>
      <c r="AV272" s="38"/>
      <c r="AW272" s="38"/>
    </row>
    <row r="273" spans="45:49">
      <c r="AS273" s="40" t="s">
        <v>429</v>
      </c>
      <c r="AT273" s="41" t="s">
        <v>433</v>
      </c>
      <c r="AU273" s="38"/>
      <c r="AV273" s="38"/>
      <c r="AW273" s="38"/>
    </row>
    <row r="274" spans="45:49">
      <c r="AS274" s="40" t="s">
        <v>429</v>
      </c>
      <c r="AT274" s="41" t="s">
        <v>434</v>
      </c>
      <c r="AU274" s="38"/>
      <c r="AV274" s="38"/>
      <c r="AW274" s="38"/>
    </row>
    <row r="275" spans="45:49">
      <c r="AS275" s="40" t="s">
        <v>429</v>
      </c>
      <c r="AT275" s="41" t="s">
        <v>435</v>
      </c>
      <c r="AU275" s="38"/>
      <c r="AV275" s="38"/>
      <c r="AW275" s="38"/>
    </row>
    <row r="276" spans="45:49">
      <c r="AS276" s="40" t="s">
        <v>429</v>
      </c>
      <c r="AT276" s="41" t="s">
        <v>269</v>
      </c>
      <c r="AU276" s="38"/>
      <c r="AV276" s="38"/>
      <c r="AW276" s="38"/>
    </row>
    <row r="277" spans="45:49">
      <c r="AS277" s="40" t="s">
        <v>429</v>
      </c>
      <c r="AT277" s="41" t="s">
        <v>436</v>
      </c>
      <c r="AU277" s="38"/>
      <c r="AV277" s="38"/>
      <c r="AW277" s="38"/>
    </row>
    <row r="278" spans="45:49">
      <c r="AS278" s="40" t="s">
        <v>429</v>
      </c>
      <c r="AT278" s="41" t="s">
        <v>437</v>
      </c>
      <c r="AU278" s="38"/>
      <c r="AV278" s="38"/>
      <c r="AW278" s="38"/>
    </row>
    <row r="279" spans="45:49">
      <c r="AS279" s="40" t="s">
        <v>429</v>
      </c>
      <c r="AT279" s="41" t="s">
        <v>438</v>
      </c>
      <c r="AU279" s="38"/>
      <c r="AV279" s="38"/>
      <c r="AW279" s="38"/>
    </row>
    <row r="280" spans="45:49">
      <c r="AS280" s="40" t="s">
        <v>429</v>
      </c>
      <c r="AT280" s="41" t="s">
        <v>439</v>
      </c>
      <c r="AU280" s="38"/>
      <c r="AV280" s="38"/>
      <c r="AW280" s="38"/>
    </row>
    <row r="281" spans="45:49">
      <c r="AS281" s="40" t="s">
        <v>429</v>
      </c>
      <c r="AT281" s="41" t="s">
        <v>440</v>
      </c>
      <c r="AU281" s="38"/>
      <c r="AV281" s="38"/>
      <c r="AW281" s="38"/>
    </row>
    <row r="282" spans="45:49">
      <c r="AS282" s="40" t="s">
        <v>429</v>
      </c>
      <c r="AT282" s="41" t="s">
        <v>441</v>
      </c>
      <c r="AU282" s="38"/>
      <c r="AV282" s="38"/>
      <c r="AW282" s="38"/>
    </row>
    <row r="283" spans="45:49">
      <c r="AS283" s="40" t="s">
        <v>429</v>
      </c>
      <c r="AT283" s="41" t="s">
        <v>442</v>
      </c>
      <c r="AU283" s="38"/>
      <c r="AV283" s="38"/>
      <c r="AW283" s="38"/>
    </row>
    <row r="284" spans="45:49">
      <c r="AS284" s="40" t="s">
        <v>429</v>
      </c>
      <c r="AT284" s="41" t="s">
        <v>443</v>
      </c>
      <c r="AU284" s="38"/>
      <c r="AV284" s="38"/>
      <c r="AW284" s="38"/>
    </row>
    <row r="285" spans="45:49">
      <c r="AS285" s="40" t="s">
        <v>429</v>
      </c>
      <c r="AT285" s="41" t="s">
        <v>444</v>
      </c>
      <c r="AU285" s="38"/>
      <c r="AV285" s="38"/>
      <c r="AW285" s="38"/>
    </row>
    <row r="286" spans="45:49">
      <c r="AS286" s="40" t="s">
        <v>429</v>
      </c>
      <c r="AT286" s="41" t="s">
        <v>445</v>
      </c>
      <c r="AU286" s="38"/>
      <c r="AV286" s="38"/>
      <c r="AW286" s="38"/>
    </row>
    <row r="287" spans="45:49">
      <c r="AS287" s="40" t="s">
        <v>429</v>
      </c>
      <c r="AT287" s="41" t="s">
        <v>446</v>
      </c>
      <c r="AU287" s="38"/>
      <c r="AV287" s="38"/>
      <c r="AW287" s="38"/>
    </row>
    <row r="288" spans="45:49">
      <c r="AS288" s="40" t="s">
        <v>429</v>
      </c>
      <c r="AT288" s="41" t="s">
        <v>447</v>
      </c>
      <c r="AU288" s="38"/>
      <c r="AV288" s="38"/>
      <c r="AW288" s="38"/>
    </row>
    <row r="289" spans="45:49">
      <c r="AS289" s="40" t="s">
        <v>429</v>
      </c>
      <c r="AT289" s="41" t="s">
        <v>448</v>
      </c>
      <c r="AU289" s="38"/>
      <c r="AV289" s="38"/>
      <c r="AW289" s="38"/>
    </row>
    <row r="290" spans="45:49">
      <c r="AS290" s="40" t="s">
        <v>429</v>
      </c>
      <c r="AT290" s="41" t="s">
        <v>449</v>
      </c>
      <c r="AU290" s="38"/>
      <c r="AV290" s="38"/>
      <c r="AW290" s="38"/>
    </row>
    <row r="291" spans="45:49">
      <c r="AS291" s="40" t="s">
        <v>429</v>
      </c>
      <c r="AT291" s="41" t="s">
        <v>450</v>
      </c>
      <c r="AU291" s="38"/>
      <c r="AV291" s="38"/>
      <c r="AW291" s="38"/>
    </row>
    <row r="292" spans="45:49">
      <c r="AS292" s="40" t="s">
        <v>429</v>
      </c>
      <c r="AT292" s="41" t="s">
        <v>451</v>
      </c>
      <c r="AU292" s="38"/>
      <c r="AV292" s="38"/>
      <c r="AW292" s="38"/>
    </row>
    <row r="293" spans="45:49">
      <c r="AS293" s="40" t="s">
        <v>429</v>
      </c>
      <c r="AT293" s="41" t="s">
        <v>452</v>
      </c>
      <c r="AU293" s="38"/>
      <c r="AV293" s="38"/>
      <c r="AW293" s="38"/>
    </row>
    <row r="294" spans="45:49">
      <c r="AS294" s="40" t="s">
        <v>429</v>
      </c>
      <c r="AT294" s="41" t="s">
        <v>453</v>
      </c>
      <c r="AU294" s="38"/>
      <c r="AV294" s="38"/>
      <c r="AW294" s="38"/>
    </row>
    <row r="295" spans="45:49">
      <c r="AS295" s="40" t="s">
        <v>429</v>
      </c>
      <c r="AT295" s="41" t="s">
        <v>454</v>
      </c>
      <c r="AU295" s="38"/>
      <c r="AV295" s="38"/>
      <c r="AW295" s="38"/>
    </row>
    <row r="296" spans="45:49">
      <c r="AS296" s="40" t="s">
        <v>429</v>
      </c>
      <c r="AT296" s="41" t="s">
        <v>455</v>
      </c>
      <c r="AU296" s="38"/>
      <c r="AV296" s="38"/>
      <c r="AW296" s="38"/>
    </row>
    <row r="297" spans="45:49">
      <c r="AS297" s="40" t="s">
        <v>429</v>
      </c>
      <c r="AT297" s="41" t="s">
        <v>456</v>
      </c>
      <c r="AU297" s="38"/>
      <c r="AV297" s="38"/>
      <c r="AW297" s="38"/>
    </row>
    <row r="298" spans="45:49">
      <c r="AS298" s="40" t="s">
        <v>429</v>
      </c>
      <c r="AT298" s="41" t="s">
        <v>457</v>
      </c>
      <c r="AU298" s="38"/>
      <c r="AV298" s="38"/>
      <c r="AW298" s="38"/>
    </row>
    <row r="299" spans="45:49">
      <c r="AS299" s="40" t="s">
        <v>429</v>
      </c>
      <c r="AT299" s="41" t="s">
        <v>458</v>
      </c>
      <c r="AU299" s="38"/>
      <c r="AV299" s="38"/>
      <c r="AW299" s="38"/>
    </row>
    <row r="300" spans="45:49">
      <c r="AS300" s="40" t="s">
        <v>459</v>
      </c>
      <c r="AT300" s="41" t="s">
        <v>460</v>
      </c>
      <c r="AU300" s="38"/>
      <c r="AV300" s="38"/>
      <c r="AW300" s="38"/>
    </row>
    <row r="301" spans="45:49">
      <c r="AS301" s="40" t="s">
        <v>459</v>
      </c>
      <c r="AT301" s="41" t="s">
        <v>461</v>
      </c>
      <c r="AU301" s="38"/>
      <c r="AV301" s="38"/>
      <c r="AW301" s="38"/>
    </row>
    <row r="302" spans="45:49">
      <c r="AS302" s="40" t="s">
        <v>459</v>
      </c>
      <c r="AT302" s="41" t="s">
        <v>462</v>
      </c>
      <c r="AU302" s="38"/>
      <c r="AV302" s="38"/>
      <c r="AW302" s="38"/>
    </row>
    <row r="303" spans="45:49">
      <c r="AS303" s="40" t="s">
        <v>459</v>
      </c>
      <c r="AT303" s="41" t="s">
        <v>463</v>
      </c>
      <c r="AU303" s="38"/>
      <c r="AV303" s="38"/>
      <c r="AW303" s="38"/>
    </row>
    <row r="304" spans="45:49">
      <c r="AS304" s="40" t="s">
        <v>459</v>
      </c>
      <c r="AT304" s="41" t="s">
        <v>464</v>
      </c>
      <c r="AU304" s="38"/>
      <c r="AV304" s="38"/>
      <c r="AW304" s="38"/>
    </row>
    <row r="305" spans="45:49">
      <c r="AS305" s="40" t="s">
        <v>459</v>
      </c>
      <c r="AT305" s="41" t="s">
        <v>465</v>
      </c>
      <c r="AU305" s="38"/>
      <c r="AV305" s="38"/>
      <c r="AW305" s="38"/>
    </row>
    <row r="306" spans="45:49">
      <c r="AS306" s="40" t="s">
        <v>459</v>
      </c>
      <c r="AT306" s="41" t="s">
        <v>466</v>
      </c>
      <c r="AU306" s="38"/>
      <c r="AV306" s="38"/>
      <c r="AW306" s="38"/>
    </row>
    <row r="307" spans="45:49">
      <c r="AS307" s="40" t="s">
        <v>459</v>
      </c>
      <c r="AT307" s="41" t="s">
        <v>467</v>
      </c>
      <c r="AU307" s="38"/>
      <c r="AV307" s="38"/>
      <c r="AW307" s="38"/>
    </row>
    <row r="308" spans="45:49">
      <c r="AS308" s="40" t="s">
        <v>459</v>
      </c>
      <c r="AT308" s="41" t="s">
        <v>468</v>
      </c>
      <c r="AU308" s="38"/>
      <c r="AV308" s="38"/>
      <c r="AW308" s="38"/>
    </row>
    <row r="309" spans="45:49">
      <c r="AS309" s="40" t="s">
        <v>459</v>
      </c>
      <c r="AT309" s="41" t="s">
        <v>469</v>
      </c>
      <c r="AU309" s="38"/>
      <c r="AV309" s="38"/>
      <c r="AW309" s="38"/>
    </row>
    <row r="310" spans="45:49">
      <c r="AS310" s="40" t="s">
        <v>459</v>
      </c>
      <c r="AT310" s="41" t="s">
        <v>470</v>
      </c>
      <c r="AU310" s="38"/>
      <c r="AV310" s="38"/>
      <c r="AW310" s="38"/>
    </row>
    <row r="311" spans="45:49">
      <c r="AS311" s="40" t="s">
        <v>459</v>
      </c>
      <c r="AT311" s="41" t="s">
        <v>471</v>
      </c>
      <c r="AU311" s="38"/>
      <c r="AV311" s="38"/>
      <c r="AW311" s="38"/>
    </row>
    <row r="312" spans="45:49">
      <c r="AS312" s="40" t="s">
        <v>459</v>
      </c>
      <c r="AT312" s="41" t="s">
        <v>472</v>
      </c>
      <c r="AU312" s="38"/>
      <c r="AV312" s="38"/>
      <c r="AW312" s="38"/>
    </row>
    <row r="313" spans="45:49">
      <c r="AS313" s="40" t="s">
        <v>459</v>
      </c>
      <c r="AT313" s="41" t="s">
        <v>473</v>
      </c>
      <c r="AU313" s="38"/>
      <c r="AV313" s="38"/>
      <c r="AW313" s="38"/>
    </row>
    <row r="314" spans="45:49">
      <c r="AS314" s="40" t="s">
        <v>474</v>
      </c>
      <c r="AT314" s="41" t="s">
        <v>474</v>
      </c>
      <c r="AU314" s="38"/>
      <c r="AV314" s="38"/>
      <c r="AW314" s="38"/>
    </row>
    <row r="315" spans="45:49">
      <c r="AS315" s="40" t="s">
        <v>475</v>
      </c>
      <c r="AT315" s="41" t="s">
        <v>476</v>
      </c>
      <c r="AU315" s="38"/>
      <c r="AV315" s="38"/>
      <c r="AW315" s="38"/>
    </row>
    <row r="316" spans="45:49">
      <c r="AS316" s="40" t="s">
        <v>475</v>
      </c>
      <c r="AT316" s="41" t="s">
        <v>477</v>
      </c>
      <c r="AU316" s="38"/>
      <c r="AV316" s="38"/>
      <c r="AW316" s="38"/>
    </row>
    <row r="317" spans="45:49">
      <c r="AS317" s="40" t="s">
        <v>475</v>
      </c>
      <c r="AT317" s="41" t="s">
        <v>478</v>
      </c>
      <c r="AU317" s="38"/>
      <c r="AV317" s="38"/>
      <c r="AW317" s="38"/>
    </row>
    <row r="318" spans="45:49">
      <c r="AS318" s="40" t="s">
        <v>475</v>
      </c>
      <c r="AT318" s="41" t="s">
        <v>479</v>
      </c>
      <c r="AU318" s="38"/>
      <c r="AV318" s="38"/>
      <c r="AW318" s="38"/>
    </row>
    <row r="319" spans="45:49">
      <c r="AS319" s="40" t="s">
        <v>475</v>
      </c>
      <c r="AT319" s="41" t="s">
        <v>480</v>
      </c>
      <c r="AU319" s="38"/>
      <c r="AV319" s="38"/>
      <c r="AW319" s="38"/>
    </row>
    <row r="320" spans="45:49">
      <c r="AS320" s="40" t="s">
        <v>475</v>
      </c>
      <c r="AT320" s="41" t="s">
        <v>481</v>
      </c>
      <c r="AU320" s="38"/>
      <c r="AV320" s="38"/>
      <c r="AW320" s="38"/>
    </row>
    <row r="321" spans="45:49">
      <c r="AS321" s="40" t="s">
        <v>475</v>
      </c>
      <c r="AT321" s="41" t="s">
        <v>482</v>
      </c>
      <c r="AU321" s="38"/>
      <c r="AV321" s="38"/>
      <c r="AW321" s="38"/>
    </row>
    <row r="322" spans="45:49">
      <c r="AS322" s="40" t="s">
        <v>475</v>
      </c>
      <c r="AT322" s="41" t="s">
        <v>483</v>
      </c>
      <c r="AU322" s="38"/>
      <c r="AV322" s="38"/>
      <c r="AW322" s="38"/>
    </row>
    <row r="323" spans="45:49">
      <c r="AS323" s="40" t="s">
        <v>475</v>
      </c>
      <c r="AT323" s="41" t="s">
        <v>484</v>
      </c>
      <c r="AU323" s="38"/>
      <c r="AV323" s="38"/>
      <c r="AW323" s="38"/>
    </row>
    <row r="324" spans="45:49">
      <c r="AS324" s="40" t="s">
        <v>475</v>
      </c>
      <c r="AT324" s="41" t="s">
        <v>485</v>
      </c>
      <c r="AU324" s="38"/>
      <c r="AV324" s="38"/>
      <c r="AW324" s="38"/>
    </row>
    <row r="325" spans="45:49">
      <c r="AS325" s="40" t="s">
        <v>475</v>
      </c>
      <c r="AT325" s="41" t="s">
        <v>486</v>
      </c>
      <c r="AU325" s="38"/>
      <c r="AV325" s="38"/>
      <c r="AW325" s="38"/>
    </row>
    <row r="326" spans="45:49">
      <c r="AS326" s="40" t="s">
        <v>475</v>
      </c>
      <c r="AT326" s="41" t="s">
        <v>487</v>
      </c>
      <c r="AU326" s="38"/>
      <c r="AV326" s="38"/>
      <c r="AW326" s="38"/>
    </row>
    <row r="327" spans="45:49">
      <c r="AS327" s="40" t="s">
        <v>475</v>
      </c>
      <c r="AT327" s="41" t="s">
        <v>488</v>
      </c>
      <c r="AU327" s="38"/>
      <c r="AV327" s="38"/>
      <c r="AW327" s="38"/>
    </row>
    <row r="328" spans="45:49">
      <c r="AS328" s="40" t="s">
        <v>475</v>
      </c>
      <c r="AT328" s="41" t="s">
        <v>489</v>
      </c>
      <c r="AU328" s="38"/>
      <c r="AV328" s="38"/>
      <c r="AW328" s="38"/>
    </row>
    <row r="329" spans="45:49">
      <c r="AS329" s="40" t="s">
        <v>475</v>
      </c>
      <c r="AT329" s="41" t="s">
        <v>490</v>
      </c>
      <c r="AU329" s="38"/>
      <c r="AV329" s="38"/>
      <c r="AW329" s="38"/>
    </row>
    <row r="330" spans="45:49">
      <c r="AS330" s="40" t="s">
        <v>475</v>
      </c>
      <c r="AT330" s="41" t="s">
        <v>491</v>
      </c>
      <c r="AU330" s="38"/>
      <c r="AV330" s="38"/>
      <c r="AW330" s="38"/>
    </row>
    <row r="331" spans="45:49">
      <c r="AS331" s="40" t="s">
        <v>475</v>
      </c>
      <c r="AT331" s="41" t="s">
        <v>492</v>
      </c>
      <c r="AU331" s="38"/>
      <c r="AV331" s="38"/>
      <c r="AW331" s="38"/>
    </row>
    <row r="332" spans="45:49">
      <c r="AS332" s="40" t="s">
        <v>475</v>
      </c>
      <c r="AT332" s="41" t="s">
        <v>493</v>
      </c>
      <c r="AU332" s="38"/>
      <c r="AV332" s="38"/>
      <c r="AW332" s="38"/>
    </row>
    <row r="333" spans="45:49">
      <c r="AS333" s="40" t="s">
        <v>475</v>
      </c>
      <c r="AT333" s="41" t="s">
        <v>494</v>
      </c>
      <c r="AU333" s="38"/>
      <c r="AV333" s="38"/>
      <c r="AW333" s="38"/>
    </row>
    <row r="334" spans="45:49">
      <c r="AS334" s="40" t="s">
        <v>475</v>
      </c>
      <c r="AT334" s="41" t="s">
        <v>495</v>
      </c>
      <c r="AU334" s="38"/>
      <c r="AV334" s="38"/>
      <c r="AW334" s="38"/>
    </row>
    <row r="335" spans="45:49">
      <c r="AS335" s="40" t="s">
        <v>475</v>
      </c>
      <c r="AT335" s="41" t="s">
        <v>496</v>
      </c>
      <c r="AU335" s="38"/>
      <c r="AV335" s="38"/>
      <c r="AW335" s="38"/>
    </row>
    <row r="336" spans="45:49">
      <c r="AS336" s="40" t="s">
        <v>475</v>
      </c>
      <c r="AT336" s="41" t="s">
        <v>497</v>
      </c>
      <c r="AU336" s="38"/>
      <c r="AV336" s="38"/>
      <c r="AW336" s="38"/>
    </row>
    <row r="337" spans="45:49">
      <c r="AS337" s="40" t="s">
        <v>475</v>
      </c>
      <c r="AT337" s="41" t="s">
        <v>498</v>
      </c>
      <c r="AU337" s="38"/>
      <c r="AV337" s="38"/>
      <c r="AW337" s="38"/>
    </row>
    <row r="338" spans="45:49">
      <c r="AS338" s="40" t="s">
        <v>475</v>
      </c>
      <c r="AT338" s="41" t="s">
        <v>499</v>
      </c>
      <c r="AU338" s="38"/>
      <c r="AV338" s="38"/>
      <c r="AW338" s="38"/>
    </row>
    <row r="339" spans="45:49">
      <c r="AS339" s="40" t="s">
        <v>475</v>
      </c>
      <c r="AT339" s="41" t="s">
        <v>500</v>
      </c>
      <c r="AU339" s="38"/>
      <c r="AV339" s="38"/>
      <c r="AW339" s="38"/>
    </row>
    <row r="340" spans="45:49">
      <c r="AS340" s="40" t="s">
        <v>475</v>
      </c>
      <c r="AT340" s="41" t="s">
        <v>501</v>
      </c>
      <c r="AU340" s="38"/>
      <c r="AV340" s="38"/>
      <c r="AW340" s="38"/>
    </row>
    <row r="341" spans="45:49">
      <c r="AS341" s="40" t="s">
        <v>475</v>
      </c>
      <c r="AT341" s="41" t="s">
        <v>502</v>
      </c>
      <c r="AU341" s="38"/>
      <c r="AV341" s="38"/>
      <c r="AW341" s="38"/>
    </row>
    <row r="342" spans="45:49">
      <c r="AS342" s="40" t="s">
        <v>475</v>
      </c>
      <c r="AT342" s="41" t="s">
        <v>503</v>
      </c>
      <c r="AU342" s="38"/>
      <c r="AV342" s="38"/>
      <c r="AW342" s="38"/>
    </row>
    <row r="343" spans="45:49">
      <c r="AS343" s="40" t="s">
        <v>475</v>
      </c>
      <c r="AT343" s="41" t="s">
        <v>504</v>
      </c>
      <c r="AU343" s="38"/>
      <c r="AV343" s="38"/>
      <c r="AW343" s="38"/>
    </row>
    <row r="344" spans="45:49">
      <c r="AS344" s="40" t="s">
        <v>475</v>
      </c>
      <c r="AT344" s="41" t="s">
        <v>505</v>
      </c>
      <c r="AU344" s="38"/>
      <c r="AV344" s="38"/>
      <c r="AW344" s="38"/>
    </row>
    <row r="345" spans="45:49">
      <c r="AS345" s="40" t="s">
        <v>475</v>
      </c>
      <c r="AT345" s="41" t="s">
        <v>506</v>
      </c>
      <c r="AU345" s="38"/>
      <c r="AV345" s="38"/>
      <c r="AW345" s="38"/>
    </row>
    <row r="346" spans="45:49">
      <c r="AS346" s="40" t="s">
        <v>475</v>
      </c>
      <c r="AT346" s="41" t="s">
        <v>507</v>
      </c>
      <c r="AU346" s="38"/>
      <c r="AV346" s="38"/>
      <c r="AW346" s="38"/>
    </row>
    <row r="347" spans="45:49">
      <c r="AS347" s="40" t="s">
        <v>475</v>
      </c>
      <c r="AT347" s="41" t="s">
        <v>508</v>
      </c>
      <c r="AU347" s="38"/>
      <c r="AV347" s="38"/>
      <c r="AW347" s="38"/>
    </row>
    <row r="348" spans="45:49">
      <c r="AS348" s="40" t="s">
        <v>475</v>
      </c>
      <c r="AT348" s="41" t="s">
        <v>509</v>
      </c>
      <c r="AU348" s="38"/>
      <c r="AV348" s="38"/>
      <c r="AW348" s="38"/>
    </row>
    <row r="349" spans="45:49">
      <c r="AS349" s="40" t="s">
        <v>475</v>
      </c>
      <c r="AT349" s="41" t="s">
        <v>510</v>
      </c>
      <c r="AU349" s="38"/>
      <c r="AV349" s="38"/>
      <c r="AW349" s="38"/>
    </row>
    <row r="350" spans="45:49">
      <c r="AS350" s="40" t="s">
        <v>475</v>
      </c>
      <c r="AT350" s="41" t="s">
        <v>511</v>
      </c>
      <c r="AU350" s="38"/>
      <c r="AV350" s="38"/>
      <c r="AW350" s="38"/>
    </row>
    <row r="351" spans="45:49">
      <c r="AS351" s="40" t="s">
        <v>475</v>
      </c>
      <c r="AT351" s="41" t="s">
        <v>512</v>
      </c>
      <c r="AU351" s="38"/>
      <c r="AV351" s="38"/>
      <c r="AW351" s="38"/>
    </row>
    <row r="352" spans="45:49">
      <c r="AS352" s="40" t="s">
        <v>475</v>
      </c>
      <c r="AT352" s="41" t="s">
        <v>513</v>
      </c>
      <c r="AU352" s="38"/>
      <c r="AV352" s="38"/>
      <c r="AW352" s="38"/>
    </row>
    <row r="353" spans="45:49">
      <c r="AS353" s="40" t="s">
        <v>475</v>
      </c>
      <c r="AT353" s="41" t="s">
        <v>514</v>
      </c>
      <c r="AU353" s="38"/>
      <c r="AV353" s="38"/>
      <c r="AW353" s="38"/>
    </row>
    <row r="354" spans="45:49">
      <c r="AS354" s="40" t="s">
        <v>475</v>
      </c>
      <c r="AT354" s="41" t="s">
        <v>515</v>
      </c>
      <c r="AU354" s="38"/>
      <c r="AV354" s="38"/>
      <c r="AW354" s="38"/>
    </row>
    <row r="355" spans="45:49">
      <c r="AS355" s="40" t="s">
        <v>475</v>
      </c>
      <c r="AT355" s="41" t="s">
        <v>516</v>
      </c>
      <c r="AU355" s="38"/>
      <c r="AV355" s="38"/>
      <c r="AW355" s="38"/>
    </row>
    <row r="356" spans="45:49">
      <c r="AS356" s="40" t="s">
        <v>475</v>
      </c>
      <c r="AT356" s="41" t="s">
        <v>517</v>
      </c>
      <c r="AU356" s="38"/>
      <c r="AV356" s="38"/>
      <c r="AW356" s="38"/>
    </row>
    <row r="357" spans="45:49">
      <c r="AS357" s="40" t="s">
        <v>475</v>
      </c>
      <c r="AT357" s="41" t="s">
        <v>518</v>
      </c>
      <c r="AU357" s="38"/>
      <c r="AV357" s="38"/>
      <c r="AW357" s="38"/>
    </row>
    <row r="358" spans="45:49">
      <c r="AS358" s="40" t="s">
        <v>475</v>
      </c>
      <c r="AT358" s="41" t="s">
        <v>519</v>
      </c>
      <c r="AU358" s="38"/>
      <c r="AV358" s="38"/>
      <c r="AW358" s="38"/>
    </row>
    <row r="359" spans="45:49">
      <c r="AS359" s="40" t="s">
        <v>475</v>
      </c>
      <c r="AT359" s="41" t="s">
        <v>520</v>
      </c>
      <c r="AU359" s="38"/>
      <c r="AV359" s="38"/>
      <c r="AW359" s="38"/>
    </row>
    <row r="360" spans="45:49">
      <c r="AS360" s="40" t="s">
        <v>475</v>
      </c>
      <c r="AT360" s="41" t="s">
        <v>521</v>
      </c>
      <c r="AU360" s="38"/>
      <c r="AV360" s="38"/>
      <c r="AW360" s="38"/>
    </row>
    <row r="361" spans="45:49">
      <c r="AS361" s="40" t="s">
        <v>475</v>
      </c>
      <c r="AT361" s="41" t="s">
        <v>522</v>
      </c>
      <c r="AU361" s="38"/>
      <c r="AV361" s="38"/>
      <c r="AW361" s="38"/>
    </row>
    <row r="362" spans="45:49">
      <c r="AS362" s="40" t="s">
        <v>475</v>
      </c>
      <c r="AT362" s="41" t="s">
        <v>523</v>
      </c>
      <c r="AU362" s="38"/>
      <c r="AV362" s="38"/>
      <c r="AW362" s="38"/>
    </row>
    <row r="363" spans="45:49">
      <c r="AS363" s="40" t="s">
        <v>475</v>
      </c>
      <c r="AT363" s="41" t="s">
        <v>524</v>
      </c>
      <c r="AU363" s="38"/>
      <c r="AV363" s="38"/>
      <c r="AW363" s="38"/>
    </row>
    <row r="364" spans="45:49">
      <c r="AS364" s="40" t="s">
        <v>475</v>
      </c>
      <c r="AT364" s="56" t="s">
        <v>525</v>
      </c>
      <c r="AU364" s="38"/>
      <c r="AV364" s="38"/>
      <c r="AW364" s="38"/>
    </row>
    <row r="365" spans="45:49">
      <c r="AS365" s="40" t="s">
        <v>475</v>
      </c>
      <c r="AT365" s="41" t="s">
        <v>526</v>
      </c>
      <c r="AU365" s="38"/>
      <c r="AV365" s="38"/>
      <c r="AW365" s="38"/>
    </row>
    <row r="366" spans="45:49">
      <c r="AS366" s="40" t="s">
        <v>527</v>
      </c>
      <c r="AT366" s="41" t="s">
        <v>528</v>
      </c>
      <c r="AU366" s="38"/>
      <c r="AV366" s="38"/>
      <c r="AW366" s="38"/>
    </row>
    <row r="367" spans="45:49">
      <c r="AS367" s="40" t="s">
        <v>527</v>
      </c>
      <c r="AT367" s="41" t="s">
        <v>529</v>
      </c>
      <c r="AU367" s="38"/>
      <c r="AV367" s="38"/>
      <c r="AW367" s="38"/>
    </row>
    <row r="368" spans="45:49">
      <c r="AS368" s="40" t="s">
        <v>527</v>
      </c>
      <c r="AT368" s="41" t="s">
        <v>530</v>
      </c>
      <c r="AU368" s="38"/>
      <c r="AV368" s="38"/>
      <c r="AW368" s="38"/>
    </row>
    <row r="369" spans="45:49">
      <c r="AS369" s="40" t="s">
        <v>527</v>
      </c>
      <c r="AT369" s="41" t="s">
        <v>226</v>
      </c>
      <c r="AU369" s="38"/>
      <c r="AV369" s="38"/>
      <c r="AW369" s="38"/>
    </row>
    <row r="370" spans="45:49">
      <c r="AS370" s="40" t="s">
        <v>527</v>
      </c>
      <c r="AT370" s="41" t="s">
        <v>531</v>
      </c>
      <c r="AU370" s="38"/>
      <c r="AV370" s="38"/>
      <c r="AW370" s="38"/>
    </row>
    <row r="371" spans="45:49">
      <c r="AS371" s="40" t="s">
        <v>527</v>
      </c>
      <c r="AT371" s="41" t="s">
        <v>532</v>
      </c>
      <c r="AU371" s="38"/>
      <c r="AV371" s="38"/>
      <c r="AW371" s="38"/>
    </row>
    <row r="372" spans="45:49">
      <c r="AS372" s="40" t="s">
        <v>527</v>
      </c>
      <c r="AT372" s="41" t="s">
        <v>533</v>
      </c>
      <c r="AU372" s="38"/>
      <c r="AV372" s="38"/>
      <c r="AW372" s="38"/>
    </row>
    <row r="373" spans="45:49">
      <c r="AS373" s="40" t="s">
        <v>527</v>
      </c>
      <c r="AT373" s="41" t="s">
        <v>534</v>
      </c>
      <c r="AU373" s="38"/>
      <c r="AV373" s="38"/>
      <c r="AW373" s="38"/>
    </row>
    <row r="374" spans="45:49">
      <c r="AS374" s="40" t="s">
        <v>527</v>
      </c>
      <c r="AT374" s="41" t="s">
        <v>535</v>
      </c>
      <c r="AU374" s="38"/>
      <c r="AV374" s="38"/>
      <c r="AW374" s="38"/>
    </row>
    <row r="375" spans="45:49">
      <c r="AS375" s="40" t="s">
        <v>527</v>
      </c>
      <c r="AT375" s="41" t="s">
        <v>536</v>
      </c>
      <c r="AU375" s="38"/>
      <c r="AV375" s="38"/>
      <c r="AW375" s="38"/>
    </row>
    <row r="376" spans="45:49">
      <c r="AS376" s="40" t="s">
        <v>527</v>
      </c>
      <c r="AT376" s="41" t="s">
        <v>537</v>
      </c>
      <c r="AU376" s="38"/>
      <c r="AV376" s="38"/>
      <c r="AW376" s="38"/>
    </row>
    <row r="377" spans="45:49">
      <c r="AS377" s="40" t="s">
        <v>527</v>
      </c>
      <c r="AT377" s="41" t="s">
        <v>538</v>
      </c>
      <c r="AU377" s="38"/>
      <c r="AV377" s="38"/>
      <c r="AW377" s="38"/>
    </row>
    <row r="378" spans="45:49">
      <c r="AS378" s="40" t="s">
        <v>527</v>
      </c>
      <c r="AT378" s="41" t="s">
        <v>539</v>
      </c>
      <c r="AU378" s="38"/>
      <c r="AV378" s="38"/>
      <c r="AW378" s="38"/>
    </row>
    <row r="379" spans="45:49">
      <c r="AS379" s="40" t="s">
        <v>527</v>
      </c>
      <c r="AT379" s="41" t="s">
        <v>540</v>
      </c>
      <c r="AU379" s="38"/>
      <c r="AV379" s="38"/>
      <c r="AW379" s="38"/>
    </row>
    <row r="380" spans="45:49">
      <c r="AS380" s="40" t="s">
        <v>527</v>
      </c>
      <c r="AT380" s="41" t="s">
        <v>541</v>
      </c>
      <c r="AU380" s="38"/>
      <c r="AV380" s="38"/>
      <c r="AW380" s="38"/>
    </row>
    <row r="381" spans="45:49">
      <c r="AS381" s="40" t="s">
        <v>527</v>
      </c>
      <c r="AT381" s="41" t="s">
        <v>542</v>
      </c>
      <c r="AU381" s="38"/>
      <c r="AV381" s="38"/>
      <c r="AW381" s="38"/>
    </row>
    <row r="382" spans="45:49">
      <c r="AS382" s="40" t="s">
        <v>527</v>
      </c>
      <c r="AT382" s="57" t="s">
        <v>543</v>
      </c>
      <c r="AU382" s="38"/>
      <c r="AV382" s="38"/>
      <c r="AW382" s="38"/>
    </row>
    <row r="383" spans="45:49">
      <c r="AS383" s="40" t="s">
        <v>527</v>
      </c>
      <c r="AT383" s="57" t="s">
        <v>544</v>
      </c>
      <c r="AU383" s="38"/>
      <c r="AV383" s="38"/>
      <c r="AW383" s="38"/>
    </row>
    <row r="384" spans="45:49">
      <c r="AS384" s="40" t="s">
        <v>527</v>
      </c>
      <c r="AT384" s="41" t="s">
        <v>545</v>
      </c>
      <c r="AU384" s="38"/>
      <c r="AV384" s="38"/>
      <c r="AW384" s="38"/>
    </row>
    <row r="385" spans="45:49">
      <c r="AS385" s="40" t="s">
        <v>527</v>
      </c>
      <c r="AT385" s="41" t="s">
        <v>546</v>
      </c>
      <c r="AU385" s="38"/>
      <c r="AV385" s="38"/>
      <c r="AW385" s="38"/>
    </row>
    <row r="386" spans="45:49">
      <c r="AS386" s="40" t="s">
        <v>527</v>
      </c>
      <c r="AT386" s="41" t="s">
        <v>547</v>
      </c>
      <c r="AU386" s="38"/>
      <c r="AV386" s="38"/>
      <c r="AW386" s="38"/>
    </row>
    <row r="387" spans="45:49">
      <c r="AS387" s="40" t="s">
        <v>527</v>
      </c>
      <c r="AT387" s="41" t="s">
        <v>548</v>
      </c>
      <c r="AU387" s="38"/>
      <c r="AV387" s="38"/>
      <c r="AW387" s="38"/>
    </row>
    <row r="388" spans="45:49">
      <c r="AS388" s="40" t="s">
        <v>527</v>
      </c>
      <c r="AT388" s="41" t="s">
        <v>549</v>
      </c>
      <c r="AU388" s="38"/>
      <c r="AV388" s="38"/>
      <c r="AW388" s="38"/>
    </row>
    <row r="389" spans="45:49">
      <c r="AS389" s="40" t="s">
        <v>527</v>
      </c>
      <c r="AT389" s="41" t="s">
        <v>550</v>
      </c>
      <c r="AU389" s="38"/>
      <c r="AV389" s="38"/>
      <c r="AW389" s="38"/>
    </row>
    <row r="390" spans="45:49">
      <c r="AS390" s="40" t="s">
        <v>527</v>
      </c>
      <c r="AT390" s="41" t="s">
        <v>551</v>
      </c>
      <c r="AU390" s="38"/>
      <c r="AV390" s="38"/>
      <c r="AW390" s="38"/>
    </row>
    <row r="391" spans="45:49">
      <c r="AS391" s="40" t="s">
        <v>527</v>
      </c>
      <c r="AT391" s="41" t="s">
        <v>552</v>
      </c>
      <c r="AU391" s="38"/>
      <c r="AV391" s="38"/>
      <c r="AW391" s="38"/>
    </row>
    <row r="392" spans="45:49">
      <c r="AS392" s="40" t="s">
        <v>527</v>
      </c>
      <c r="AT392" s="41" t="s">
        <v>285</v>
      </c>
      <c r="AU392" s="38"/>
      <c r="AV392" s="38"/>
      <c r="AW392" s="38"/>
    </row>
    <row r="393" spans="45:49">
      <c r="AS393" s="40" t="s">
        <v>527</v>
      </c>
      <c r="AT393" s="41" t="s">
        <v>553</v>
      </c>
      <c r="AU393" s="38"/>
      <c r="AV393" s="38"/>
      <c r="AW393" s="38"/>
    </row>
    <row r="394" spans="45:49">
      <c r="AS394" s="40" t="s">
        <v>527</v>
      </c>
      <c r="AT394" s="41" t="s">
        <v>554</v>
      </c>
      <c r="AU394" s="38"/>
      <c r="AV394" s="38"/>
      <c r="AW394" s="38"/>
    </row>
    <row r="395" spans="45:49">
      <c r="AS395" s="40" t="s">
        <v>527</v>
      </c>
      <c r="AT395" s="41" t="s">
        <v>555</v>
      </c>
      <c r="AU395" s="38"/>
      <c r="AV395" s="38"/>
      <c r="AW395" s="38"/>
    </row>
    <row r="396" spans="45:49">
      <c r="AS396" s="40" t="s">
        <v>527</v>
      </c>
      <c r="AT396" s="41" t="s">
        <v>556</v>
      </c>
      <c r="AU396" s="38"/>
      <c r="AV396" s="38"/>
      <c r="AW396" s="38"/>
    </row>
    <row r="397" spans="45:49">
      <c r="AS397" s="40" t="s">
        <v>527</v>
      </c>
      <c r="AT397" s="41" t="s">
        <v>557</v>
      </c>
      <c r="AU397" s="38"/>
      <c r="AV397" s="38"/>
      <c r="AW397" s="38"/>
    </row>
    <row r="398" spans="45:49">
      <c r="AS398" s="40" t="s">
        <v>527</v>
      </c>
      <c r="AT398" s="41" t="s">
        <v>558</v>
      </c>
      <c r="AU398" s="38"/>
      <c r="AV398" s="38"/>
      <c r="AW398" s="38"/>
    </row>
    <row r="399" spans="45:49">
      <c r="AS399" s="40" t="s">
        <v>527</v>
      </c>
      <c r="AT399" s="41" t="s">
        <v>559</v>
      </c>
      <c r="AU399" s="38"/>
      <c r="AV399" s="38"/>
      <c r="AW399" s="38"/>
    </row>
    <row r="400" spans="45:49">
      <c r="AS400" s="40" t="s">
        <v>527</v>
      </c>
      <c r="AT400" s="41" t="s">
        <v>560</v>
      </c>
      <c r="AU400" s="38"/>
      <c r="AV400" s="38"/>
      <c r="AW400" s="38"/>
    </row>
    <row r="401" spans="45:49">
      <c r="AS401" s="40" t="s">
        <v>527</v>
      </c>
      <c r="AT401" s="41" t="s">
        <v>561</v>
      </c>
      <c r="AU401" s="38"/>
      <c r="AV401" s="38"/>
      <c r="AW401" s="38"/>
    </row>
    <row r="402" spans="45:49">
      <c r="AS402" s="40" t="s">
        <v>562</v>
      </c>
      <c r="AT402" s="41" t="s">
        <v>563</v>
      </c>
      <c r="AU402" s="38"/>
      <c r="AV402" s="38"/>
      <c r="AW402" s="38"/>
    </row>
    <row r="403" spans="45:49">
      <c r="AS403" s="40" t="s">
        <v>562</v>
      </c>
      <c r="AT403" s="41" t="s">
        <v>564</v>
      </c>
      <c r="AU403" s="38"/>
      <c r="AV403" s="38"/>
      <c r="AW403" s="38"/>
    </row>
    <row r="404" spans="45:49">
      <c r="AS404" s="40" t="s">
        <v>562</v>
      </c>
      <c r="AT404" s="41" t="s">
        <v>565</v>
      </c>
      <c r="AU404" s="38"/>
      <c r="AV404" s="38"/>
      <c r="AW404" s="38"/>
    </row>
    <row r="405" spans="45:49">
      <c r="AS405" s="40" t="s">
        <v>562</v>
      </c>
      <c r="AT405" s="41" t="s">
        <v>566</v>
      </c>
      <c r="AU405" s="38"/>
      <c r="AV405" s="38"/>
      <c r="AW405" s="38"/>
    </row>
    <row r="406" spans="45:49">
      <c r="AS406" s="40" t="s">
        <v>562</v>
      </c>
      <c r="AT406" s="41" t="s">
        <v>567</v>
      </c>
      <c r="AU406" s="38"/>
      <c r="AV406" s="38"/>
      <c r="AW406" s="38"/>
    </row>
    <row r="407" spans="45:49">
      <c r="AS407" s="40" t="s">
        <v>562</v>
      </c>
      <c r="AT407" s="41" t="s">
        <v>568</v>
      </c>
      <c r="AU407" s="38"/>
      <c r="AV407" s="38"/>
      <c r="AW407" s="38"/>
    </row>
    <row r="408" spans="45:49">
      <c r="AS408" s="40" t="s">
        <v>562</v>
      </c>
      <c r="AT408" s="41" t="s">
        <v>569</v>
      </c>
      <c r="AU408" s="38"/>
      <c r="AV408" s="38"/>
      <c r="AW408" s="38"/>
    </row>
    <row r="409" spans="45:49">
      <c r="AS409" s="40" t="s">
        <v>562</v>
      </c>
      <c r="AT409" s="41" t="s">
        <v>570</v>
      </c>
      <c r="AU409" s="38"/>
      <c r="AV409" s="38"/>
      <c r="AW409" s="38"/>
    </row>
    <row r="410" spans="45:49">
      <c r="AS410" s="40" t="s">
        <v>562</v>
      </c>
      <c r="AT410" s="41" t="s">
        <v>571</v>
      </c>
      <c r="AU410" s="38"/>
      <c r="AV410" s="38"/>
      <c r="AW410" s="38"/>
    </row>
    <row r="411" spans="45:49">
      <c r="AS411" s="40" t="s">
        <v>562</v>
      </c>
      <c r="AT411" s="41" t="s">
        <v>572</v>
      </c>
      <c r="AU411" s="38"/>
      <c r="AV411" s="38"/>
      <c r="AW411" s="38"/>
    </row>
    <row r="412" spans="45:49">
      <c r="AS412" s="40" t="s">
        <v>562</v>
      </c>
      <c r="AT412" s="41" t="s">
        <v>573</v>
      </c>
      <c r="AU412" s="38"/>
      <c r="AV412" s="38"/>
      <c r="AW412" s="38"/>
    </row>
    <row r="413" spans="45:49">
      <c r="AS413" s="40" t="s">
        <v>562</v>
      </c>
      <c r="AT413" s="41" t="s">
        <v>574</v>
      </c>
      <c r="AU413" s="38"/>
      <c r="AV413" s="38"/>
      <c r="AW413" s="38"/>
    </row>
    <row r="414" spans="45:49">
      <c r="AS414" s="40" t="s">
        <v>562</v>
      </c>
      <c r="AT414" s="41" t="s">
        <v>575</v>
      </c>
      <c r="AU414" s="38"/>
      <c r="AV414" s="38"/>
      <c r="AW414" s="38"/>
    </row>
    <row r="415" spans="45:49">
      <c r="AS415" s="40" t="s">
        <v>562</v>
      </c>
      <c r="AT415" s="41" t="s">
        <v>576</v>
      </c>
      <c r="AU415" s="38"/>
      <c r="AV415" s="38"/>
      <c r="AW415" s="38"/>
    </row>
    <row r="416" spans="45:49">
      <c r="AS416" s="40" t="s">
        <v>562</v>
      </c>
      <c r="AT416" s="41" t="s">
        <v>577</v>
      </c>
      <c r="AU416" s="38"/>
      <c r="AV416" s="38"/>
      <c r="AW416" s="38"/>
    </row>
    <row r="417" spans="45:49">
      <c r="AS417" s="40" t="s">
        <v>562</v>
      </c>
      <c r="AT417" s="41" t="s">
        <v>578</v>
      </c>
      <c r="AU417" s="38"/>
      <c r="AV417" s="38"/>
      <c r="AW417" s="38"/>
    </row>
    <row r="418" spans="45:49">
      <c r="AS418" s="40" t="s">
        <v>579</v>
      </c>
      <c r="AT418" s="41" t="s">
        <v>580</v>
      </c>
      <c r="AU418" s="38"/>
      <c r="AV418" s="38"/>
      <c r="AW418" s="38"/>
    </row>
    <row r="419" spans="45:49">
      <c r="AS419" s="40" t="s">
        <v>579</v>
      </c>
      <c r="AT419" s="41" t="s">
        <v>581</v>
      </c>
      <c r="AU419" s="38"/>
      <c r="AV419" s="38"/>
      <c r="AW419" s="38"/>
    </row>
    <row r="420" spans="45:49">
      <c r="AS420" s="40" t="s">
        <v>579</v>
      </c>
      <c r="AT420" s="41" t="s">
        <v>582</v>
      </c>
      <c r="AU420" s="38"/>
      <c r="AV420" s="38"/>
      <c r="AW420" s="38"/>
    </row>
    <row r="421" spans="45:49">
      <c r="AS421" s="40" t="s">
        <v>579</v>
      </c>
      <c r="AT421" s="41" t="s">
        <v>583</v>
      </c>
      <c r="AU421" s="38"/>
      <c r="AV421" s="38"/>
      <c r="AW421" s="38"/>
    </row>
    <row r="422" spans="45:49">
      <c r="AS422" s="40" t="s">
        <v>579</v>
      </c>
      <c r="AT422" s="41" t="s">
        <v>584</v>
      </c>
      <c r="AU422" s="38"/>
      <c r="AV422" s="38"/>
      <c r="AW422" s="38"/>
    </row>
    <row r="423" spans="45:49">
      <c r="AS423" s="40" t="s">
        <v>579</v>
      </c>
      <c r="AT423" s="41" t="s">
        <v>585</v>
      </c>
      <c r="AU423" s="38"/>
      <c r="AV423" s="38"/>
      <c r="AW423" s="38"/>
    </row>
    <row r="424" spans="45:49">
      <c r="AS424" s="40" t="s">
        <v>579</v>
      </c>
      <c r="AT424" s="41" t="s">
        <v>586</v>
      </c>
      <c r="AU424" s="38"/>
      <c r="AV424" s="38"/>
      <c r="AW424" s="38"/>
    </row>
    <row r="425" spans="45:49">
      <c r="AS425" s="40" t="s">
        <v>579</v>
      </c>
      <c r="AT425" s="41" t="s">
        <v>587</v>
      </c>
      <c r="AU425" s="38"/>
      <c r="AV425" s="38"/>
      <c r="AW425" s="38"/>
    </row>
    <row r="426" spans="45:49">
      <c r="AS426" s="40" t="s">
        <v>579</v>
      </c>
      <c r="AT426" s="41" t="s">
        <v>588</v>
      </c>
      <c r="AU426" s="38"/>
      <c r="AV426" s="38"/>
      <c r="AW426" s="38"/>
    </row>
    <row r="427" spans="45:49">
      <c r="AS427" s="40" t="s">
        <v>579</v>
      </c>
      <c r="AT427" s="41" t="s">
        <v>589</v>
      </c>
      <c r="AU427" s="38"/>
      <c r="AV427" s="38"/>
      <c r="AW427" s="38"/>
    </row>
    <row r="428" spans="45:49">
      <c r="AS428" s="40" t="s">
        <v>579</v>
      </c>
      <c r="AT428" s="41" t="s">
        <v>590</v>
      </c>
      <c r="AU428" s="38"/>
      <c r="AV428" s="38"/>
      <c r="AW428" s="38"/>
    </row>
    <row r="429" spans="45:49">
      <c r="AS429" s="40" t="s">
        <v>591</v>
      </c>
      <c r="AT429" s="41" t="s">
        <v>592</v>
      </c>
      <c r="AU429" s="38"/>
      <c r="AV429" s="38"/>
      <c r="AW429" s="38"/>
    </row>
    <row r="430" spans="45:49">
      <c r="AS430" s="40" t="s">
        <v>591</v>
      </c>
      <c r="AT430" s="41" t="s">
        <v>593</v>
      </c>
      <c r="AU430" s="38"/>
      <c r="AV430" s="38"/>
      <c r="AW430" s="38"/>
    </row>
    <row r="431" spans="45:49">
      <c r="AS431" s="40" t="s">
        <v>591</v>
      </c>
      <c r="AT431" s="41" t="s">
        <v>594</v>
      </c>
      <c r="AU431" s="38"/>
      <c r="AV431" s="38"/>
      <c r="AW431" s="38"/>
    </row>
    <row r="432" spans="45:49">
      <c r="AS432" s="40" t="s">
        <v>591</v>
      </c>
      <c r="AT432" s="41" t="s">
        <v>595</v>
      </c>
      <c r="AU432" s="38"/>
      <c r="AV432" s="38"/>
      <c r="AW432" s="38"/>
    </row>
    <row r="433" spans="45:49">
      <c r="AS433" s="40" t="s">
        <v>591</v>
      </c>
      <c r="AT433" s="41" t="s">
        <v>596</v>
      </c>
      <c r="AU433" s="38"/>
      <c r="AV433" s="38"/>
      <c r="AW433" s="38"/>
    </row>
    <row r="434" spans="45:49">
      <c r="AS434" s="40" t="s">
        <v>591</v>
      </c>
      <c r="AT434" s="41" t="s">
        <v>597</v>
      </c>
      <c r="AU434" s="38"/>
      <c r="AV434" s="38"/>
      <c r="AW434" s="38"/>
    </row>
    <row r="435" spans="45:49">
      <c r="AS435" s="40" t="s">
        <v>591</v>
      </c>
      <c r="AT435" s="41" t="s">
        <v>598</v>
      </c>
      <c r="AU435" s="38"/>
      <c r="AV435" s="38"/>
      <c r="AW435" s="38"/>
    </row>
    <row r="436" spans="45:49">
      <c r="AS436" s="40" t="s">
        <v>591</v>
      </c>
      <c r="AT436" s="41" t="s">
        <v>599</v>
      </c>
      <c r="AU436" s="38"/>
      <c r="AV436" s="38"/>
      <c r="AW436" s="38"/>
    </row>
    <row r="437" spans="45:49">
      <c r="AS437" s="40" t="s">
        <v>600</v>
      </c>
      <c r="AT437" s="41" t="s">
        <v>601</v>
      </c>
      <c r="AU437" s="38"/>
      <c r="AV437" s="38"/>
      <c r="AW437" s="38"/>
    </row>
    <row r="438" spans="45:49">
      <c r="AS438" s="40" t="s">
        <v>600</v>
      </c>
      <c r="AT438" s="41" t="s">
        <v>602</v>
      </c>
      <c r="AU438" s="38"/>
      <c r="AV438" s="38"/>
      <c r="AW438" s="38"/>
    </row>
    <row r="439" spans="45:49">
      <c r="AS439" s="40" t="s">
        <v>600</v>
      </c>
      <c r="AT439" s="41" t="s">
        <v>603</v>
      </c>
      <c r="AU439" s="38"/>
      <c r="AV439" s="38"/>
      <c r="AW439" s="38"/>
    </row>
    <row r="440" spans="45:49">
      <c r="AS440" s="40" t="s">
        <v>600</v>
      </c>
      <c r="AT440" s="41" t="s">
        <v>604</v>
      </c>
      <c r="AU440" s="38"/>
      <c r="AV440" s="38"/>
      <c r="AW440" s="38"/>
    </row>
    <row r="441" spans="45:49">
      <c r="AS441" s="40" t="s">
        <v>600</v>
      </c>
      <c r="AT441" s="41" t="s">
        <v>605</v>
      </c>
      <c r="AU441" s="38"/>
      <c r="AV441" s="38"/>
      <c r="AW441" s="38"/>
    </row>
    <row r="442" spans="45:49">
      <c r="AS442" s="40" t="s">
        <v>600</v>
      </c>
      <c r="AT442" s="41" t="s">
        <v>606</v>
      </c>
      <c r="AU442" s="38"/>
      <c r="AV442" s="38"/>
      <c r="AW442" s="38"/>
    </row>
    <row r="443" spans="45:49">
      <c r="AS443" s="40" t="s">
        <v>600</v>
      </c>
      <c r="AT443" s="41" t="s">
        <v>607</v>
      </c>
      <c r="AU443" s="38"/>
      <c r="AV443" s="38"/>
      <c r="AW443" s="38"/>
    </row>
    <row r="444" spans="45:49">
      <c r="AS444" s="40" t="s">
        <v>600</v>
      </c>
      <c r="AT444" s="41" t="s">
        <v>608</v>
      </c>
      <c r="AU444" s="38"/>
      <c r="AV444" s="38"/>
      <c r="AW444" s="38"/>
    </row>
    <row r="445" spans="45:49">
      <c r="AS445" s="40" t="s">
        <v>600</v>
      </c>
      <c r="AT445" s="41" t="s">
        <v>609</v>
      </c>
      <c r="AU445" s="38"/>
      <c r="AV445" s="38"/>
      <c r="AW445" s="38"/>
    </row>
    <row r="446" spans="45:49">
      <c r="AS446" s="40" t="s">
        <v>600</v>
      </c>
      <c r="AT446" s="41" t="s">
        <v>610</v>
      </c>
      <c r="AU446" s="38"/>
      <c r="AV446" s="38"/>
      <c r="AW446" s="38"/>
    </row>
    <row r="447" spans="45:49">
      <c r="AS447" s="40" t="s">
        <v>600</v>
      </c>
      <c r="AT447" s="41" t="s">
        <v>611</v>
      </c>
      <c r="AU447" s="38"/>
      <c r="AV447" s="38"/>
      <c r="AW447" s="38"/>
    </row>
    <row r="448" spans="45:49">
      <c r="AS448" s="40" t="s">
        <v>612</v>
      </c>
      <c r="AT448" s="41" t="s">
        <v>613</v>
      </c>
      <c r="AU448" s="38"/>
      <c r="AV448" s="38"/>
      <c r="AW448" s="38"/>
    </row>
    <row r="449" spans="45:49">
      <c r="AS449" s="40" t="s">
        <v>612</v>
      </c>
      <c r="AT449" s="41" t="s">
        <v>614</v>
      </c>
      <c r="AU449" s="38"/>
      <c r="AV449" s="38"/>
      <c r="AW449" s="38"/>
    </row>
    <row r="450" spans="45:49">
      <c r="AS450" s="40" t="s">
        <v>612</v>
      </c>
      <c r="AT450" s="41" t="s">
        <v>615</v>
      </c>
      <c r="AU450" s="38"/>
      <c r="AV450" s="38"/>
      <c r="AW450" s="38"/>
    </row>
    <row r="451" spans="45:49">
      <c r="AS451" s="40" t="s">
        <v>612</v>
      </c>
      <c r="AT451" s="41" t="s">
        <v>616</v>
      </c>
      <c r="AU451" s="38"/>
      <c r="AV451" s="38"/>
      <c r="AW451" s="38"/>
    </row>
    <row r="452" spans="45:49">
      <c r="AS452" s="40" t="s">
        <v>612</v>
      </c>
      <c r="AT452" s="41" t="s">
        <v>617</v>
      </c>
      <c r="AU452" s="38"/>
      <c r="AV452" s="38"/>
      <c r="AW452" s="38"/>
    </row>
    <row r="453" spans="45:49">
      <c r="AS453" s="40" t="s">
        <v>612</v>
      </c>
      <c r="AT453" s="41" t="s">
        <v>618</v>
      </c>
      <c r="AU453" s="38"/>
      <c r="AV453" s="38"/>
      <c r="AW453" s="38"/>
    </row>
    <row r="454" spans="45:49">
      <c r="AS454" s="40" t="s">
        <v>612</v>
      </c>
      <c r="AT454" s="41" t="s">
        <v>619</v>
      </c>
      <c r="AU454" s="38"/>
      <c r="AV454" s="38"/>
      <c r="AW454" s="38"/>
    </row>
    <row r="455" spans="45:49">
      <c r="AS455" s="40" t="s">
        <v>612</v>
      </c>
      <c r="AT455" s="41" t="s">
        <v>620</v>
      </c>
      <c r="AU455" s="38"/>
      <c r="AV455" s="38"/>
      <c r="AW455" s="38"/>
    </row>
    <row r="456" spans="45:49">
      <c r="AS456" s="40" t="s">
        <v>612</v>
      </c>
      <c r="AT456" s="41" t="s">
        <v>621</v>
      </c>
      <c r="AU456" s="38"/>
      <c r="AV456" s="38"/>
      <c r="AW456" s="38"/>
    </row>
    <row r="457" spans="45:49">
      <c r="AS457" s="40" t="s">
        <v>612</v>
      </c>
      <c r="AT457" s="41" t="s">
        <v>622</v>
      </c>
      <c r="AU457" s="38"/>
      <c r="AV457" s="38"/>
      <c r="AW457" s="38"/>
    </row>
    <row r="458" spans="45:49">
      <c r="AS458" s="40" t="s">
        <v>612</v>
      </c>
      <c r="AT458" s="41" t="s">
        <v>623</v>
      </c>
      <c r="AU458" s="38"/>
      <c r="AV458" s="38"/>
      <c r="AW458" s="38"/>
    </row>
    <row r="459" spans="45:49">
      <c r="AS459" s="40" t="s">
        <v>612</v>
      </c>
      <c r="AT459" s="41" t="s">
        <v>624</v>
      </c>
      <c r="AU459" s="38"/>
      <c r="AV459" s="38"/>
      <c r="AW459" s="38"/>
    </row>
    <row r="460" spans="45:49">
      <c r="AS460" s="40" t="s">
        <v>612</v>
      </c>
      <c r="AT460" s="41" t="s">
        <v>625</v>
      </c>
      <c r="AU460" s="38"/>
      <c r="AV460" s="38"/>
      <c r="AW460" s="38"/>
    </row>
    <row r="461" spans="45:49">
      <c r="AS461" s="40" t="s">
        <v>612</v>
      </c>
      <c r="AT461" s="41" t="s">
        <v>626</v>
      </c>
      <c r="AU461" s="38"/>
      <c r="AV461" s="38"/>
      <c r="AW461" s="38"/>
    </row>
    <row r="462" spans="45:49">
      <c r="AS462" s="40" t="s">
        <v>612</v>
      </c>
      <c r="AT462" s="41" t="s">
        <v>627</v>
      </c>
      <c r="AU462" s="38"/>
      <c r="AV462" s="38"/>
      <c r="AW462" s="38"/>
    </row>
    <row r="463" spans="45:49">
      <c r="AS463" s="40" t="s">
        <v>612</v>
      </c>
      <c r="AT463" s="41" t="s">
        <v>628</v>
      </c>
      <c r="AU463" s="38"/>
      <c r="AV463" s="38"/>
      <c r="AW463" s="38"/>
    </row>
    <row r="464" spans="45:49">
      <c r="AS464" s="40" t="s">
        <v>612</v>
      </c>
      <c r="AT464" s="41" t="s">
        <v>629</v>
      </c>
      <c r="AU464" s="38"/>
      <c r="AV464" s="38"/>
      <c r="AW464" s="38"/>
    </row>
    <row r="465" spans="45:49">
      <c r="AS465" s="40" t="s">
        <v>612</v>
      </c>
      <c r="AT465" s="41" t="s">
        <v>630</v>
      </c>
      <c r="AU465" s="38"/>
      <c r="AV465" s="38"/>
      <c r="AW465" s="38"/>
    </row>
    <row r="466" spans="45:49">
      <c r="AS466" s="40" t="s">
        <v>612</v>
      </c>
      <c r="AT466" s="41" t="s">
        <v>631</v>
      </c>
      <c r="AU466" s="38"/>
      <c r="AV466" s="38"/>
      <c r="AW466" s="38"/>
    </row>
    <row r="467" spans="45:49">
      <c r="AS467" s="40" t="s">
        <v>612</v>
      </c>
      <c r="AT467" s="41" t="s">
        <v>632</v>
      </c>
      <c r="AU467" s="38"/>
      <c r="AV467" s="38"/>
      <c r="AW467" s="38"/>
    </row>
    <row r="468" spans="45:49">
      <c r="AS468" s="40" t="s">
        <v>612</v>
      </c>
      <c r="AT468" s="41" t="s">
        <v>633</v>
      </c>
      <c r="AU468" s="38"/>
      <c r="AV468" s="38"/>
      <c r="AW468" s="38"/>
    </row>
    <row r="469" spans="45:49">
      <c r="AS469" s="40" t="s">
        <v>612</v>
      </c>
      <c r="AT469" s="41" t="s">
        <v>634</v>
      </c>
      <c r="AU469" s="38"/>
      <c r="AV469" s="38"/>
      <c r="AW469" s="38"/>
    </row>
    <row r="470" spans="45:49">
      <c r="AS470" s="40" t="s">
        <v>612</v>
      </c>
      <c r="AT470" s="41" t="s">
        <v>635</v>
      </c>
      <c r="AU470" s="38"/>
      <c r="AV470" s="38"/>
      <c r="AW470" s="38"/>
    </row>
    <row r="471" spans="45:49">
      <c r="AS471" s="40" t="s">
        <v>612</v>
      </c>
      <c r="AT471" s="41" t="s">
        <v>636</v>
      </c>
      <c r="AU471" s="38"/>
      <c r="AV471" s="38"/>
      <c r="AW471" s="38"/>
    </row>
    <row r="472" spans="45:49">
      <c r="AS472" s="40" t="s">
        <v>612</v>
      </c>
      <c r="AT472" s="41" t="s">
        <v>637</v>
      </c>
      <c r="AU472" s="38"/>
      <c r="AV472" s="38"/>
      <c r="AW472" s="38"/>
    </row>
    <row r="473" spans="45:49">
      <c r="AS473" s="40" t="s">
        <v>612</v>
      </c>
      <c r="AT473" s="41" t="s">
        <v>638</v>
      </c>
      <c r="AU473" s="38"/>
      <c r="AV473" s="38"/>
      <c r="AW473" s="38"/>
    </row>
    <row r="474" spans="45:49">
      <c r="AS474" s="40" t="s">
        <v>612</v>
      </c>
      <c r="AT474" s="41" t="s">
        <v>639</v>
      </c>
      <c r="AU474" s="38"/>
      <c r="AV474" s="38"/>
      <c r="AW474" s="38"/>
    </row>
    <row r="475" spans="45:49">
      <c r="AS475" s="40" t="s">
        <v>612</v>
      </c>
      <c r="AT475" s="41" t="s">
        <v>640</v>
      </c>
      <c r="AU475" s="38"/>
      <c r="AV475" s="38"/>
      <c r="AW475" s="38"/>
    </row>
    <row r="476" spans="45:49">
      <c r="AS476" s="40" t="s">
        <v>612</v>
      </c>
      <c r="AT476" s="41" t="s">
        <v>641</v>
      </c>
      <c r="AU476" s="38"/>
      <c r="AV476" s="38"/>
      <c r="AW476" s="38"/>
    </row>
    <row r="477" spans="45:49">
      <c r="AS477" s="40" t="s">
        <v>612</v>
      </c>
      <c r="AT477" s="41" t="s">
        <v>642</v>
      </c>
      <c r="AU477" s="38"/>
      <c r="AV477" s="38"/>
      <c r="AW477" s="38"/>
    </row>
    <row r="478" spans="45:49">
      <c r="AS478" s="58" t="s">
        <v>643</v>
      </c>
      <c r="AT478" s="41" t="s">
        <v>644</v>
      </c>
      <c r="AU478" s="38"/>
      <c r="AV478" s="38"/>
      <c r="AW478" s="38"/>
    </row>
    <row r="479" spans="45:49">
      <c r="AS479" s="58" t="s">
        <v>643</v>
      </c>
      <c r="AT479" s="41" t="s">
        <v>645</v>
      </c>
      <c r="AU479" s="38"/>
      <c r="AV479" s="38"/>
      <c r="AW479" s="38"/>
    </row>
    <row r="480" spans="45:49">
      <c r="AS480" s="58" t="s">
        <v>643</v>
      </c>
      <c r="AT480" s="41" t="s">
        <v>646</v>
      </c>
      <c r="AU480" s="38"/>
      <c r="AV480" s="38"/>
      <c r="AW480" s="38"/>
    </row>
    <row r="481" spans="45:49">
      <c r="AS481" s="58" t="s">
        <v>643</v>
      </c>
      <c r="AT481" s="41" t="s">
        <v>647</v>
      </c>
      <c r="AU481" s="38"/>
      <c r="AV481" s="38"/>
      <c r="AW481" s="38"/>
    </row>
    <row r="482" spans="45:49">
      <c r="AS482" s="40" t="s">
        <v>648</v>
      </c>
      <c r="AT482" s="41" t="s">
        <v>649</v>
      </c>
      <c r="AU482" s="38"/>
      <c r="AV482" s="38"/>
      <c r="AW482" s="38"/>
    </row>
    <row r="483" spans="45:49">
      <c r="AS483" s="40" t="s">
        <v>648</v>
      </c>
      <c r="AT483" s="41" t="s">
        <v>650</v>
      </c>
      <c r="AU483" s="38"/>
      <c r="AV483" s="38"/>
      <c r="AW483" s="38"/>
    </row>
    <row r="484" spans="45:49">
      <c r="AS484" s="40" t="s">
        <v>648</v>
      </c>
      <c r="AT484" s="41" t="s">
        <v>651</v>
      </c>
      <c r="AU484" s="38"/>
      <c r="AV484" s="38"/>
      <c r="AW484" s="38"/>
    </row>
    <row r="485" spans="45:49">
      <c r="AS485" s="40" t="s">
        <v>648</v>
      </c>
      <c r="AT485" s="41" t="s">
        <v>652</v>
      </c>
      <c r="AU485" s="38"/>
      <c r="AV485" s="38"/>
      <c r="AW485" s="38"/>
    </row>
    <row r="486" spans="45:49">
      <c r="AS486" s="40" t="s">
        <v>648</v>
      </c>
      <c r="AT486" s="41" t="s">
        <v>653</v>
      </c>
      <c r="AU486" s="38"/>
      <c r="AV486" s="38"/>
      <c r="AW486" s="38"/>
    </row>
    <row r="487" spans="45:49">
      <c r="AS487" s="40" t="s">
        <v>648</v>
      </c>
      <c r="AT487" s="41" t="s">
        <v>654</v>
      </c>
      <c r="AU487" s="38"/>
      <c r="AV487" s="38"/>
      <c r="AW487" s="38"/>
    </row>
    <row r="488" spans="45:49">
      <c r="AS488" s="40" t="s">
        <v>648</v>
      </c>
      <c r="AT488" s="41" t="s">
        <v>655</v>
      </c>
      <c r="AU488" s="38"/>
      <c r="AV488" s="38"/>
      <c r="AW488" s="38"/>
    </row>
    <row r="489" spans="45:49">
      <c r="AS489" s="40" t="s">
        <v>648</v>
      </c>
      <c r="AT489" s="41" t="s">
        <v>656</v>
      </c>
      <c r="AU489" s="38"/>
      <c r="AV489" s="38"/>
      <c r="AW489" s="38"/>
    </row>
    <row r="490" spans="45:49">
      <c r="AS490" s="40" t="s">
        <v>648</v>
      </c>
      <c r="AT490" s="41" t="s">
        <v>657</v>
      </c>
      <c r="AU490" s="38"/>
      <c r="AV490" s="38"/>
      <c r="AW490" s="38"/>
    </row>
    <row r="491" spans="45:49">
      <c r="AS491" s="40" t="s">
        <v>648</v>
      </c>
      <c r="AT491" s="41" t="s">
        <v>658</v>
      </c>
      <c r="AU491" s="38"/>
      <c r="AV491" s="38"/>
      <c r="AW491" s="38"/>
    </row>
    <row r="492" spans="45:49">
      <c r="AS492" s="40" t="s">
        <v>648</v>
      </c>
      <c r="AT492" s="41" t="s">
        <v>659</v>
      </c>
      <c r="AU492" s="38"/>
      <c r="AV492" s="38"/>
      <c r="AW492" s="38"/>
    </row>
    <row r="493" spans="45:49">
      <c r="AS493" s="40" t="s">
        <v>648</v>
      </c>
      <c r="AT493" s="41" t="s">
        <v>660</v>
      </c>
      <c r="AU493" s="38"/>
      <c r="AV493" s="38"/>
      <c r="AW493" s="38"/>
    </row>
    <row r="494" spans="45:49">
      <c r="AS494" s="40" t="s">
        <v>648</v>
      </c>
      <c r="AT494" s="41" t="s">
        <v>661</v>
      </c>
      <c r="AU494" s="38"/>
      <c r="AV494" s="38"/>
      <c r="AW494" s="38"/>
    </row>
    <row r="495" spans="45:49">
      <c r="AS495" s="40" t="s">
        <v>648</v>
      </c>
      <c r="AT495" s="41" t="s">
        <v>662</v>
      </c>
      <c r="AU495" s="38"/>
      <c r="AV495" s="38"/>
      <c r="AW495" s="38"/>
    </row>
    <row r="496" spans="45:49">
      <c r="AS496" s="40" t="s">
        <v>648</v>
      </c>
      <c r="AT496" s="41" t="s">
        <v>663</v>
      </c>
      <c r="AU496" s="38"/>
      <c r="AV496" s="38"/>
      <c r="AW496" s="38"/>
    </row>
    <row r="497" spans="45:49">
      <c r="AS497" s="40" t="s">
        <v>648</v>
      </c>
      <c r="AT497" s="41" t="s">
        <v>664</v>
      </c>
      <c r="AU497" s="38"/>
      <c r="AV497" s="38"/>
      <c r="AW497" s="38"/>
    </row>
    <row r="498" spans="45:49">
      <c r="AS498" s="40" t="s">
        <v>648</v>
      </c>
      <c r="AT498" s="41" t="s">
        <v>665</v>
      </c>
      <c r="AU498" s="38"/>
      <c r="AV498" s="38"/>
      <c r="AW498" s="38"/>
    </row>
    <row r="499" spans="45:49">
      <c r="AS499" s="40" t="s">
        <v>648</v>
      </c>
      <c r="AT499" s="41" t="s">
        <v>666</v>
      </c>
      <c r="AU499" s="38"/>
      <c r="AV499" s="38"/>
      <c r="AW499" s="38"/>
    </row>
    <row r="500" spans="45:49">
      <c r="AS500" s="40" t="s">
        <v>648</v>
      </c>
      <c r="AT500" s="41" t="s">
        <v>667</v>
      </c>
      <c r="AU500" s="38"/>
      <c r="AV500" s="38"/>
      <c r="AW500" s="38"/>
    </row>
    <row r="501" spans="45:49">
      <c r="AS501" s="40" t="s">
        <v>648</v>
      </c>
      <c r="AT501" s="41" t="s">
        <v>668</v>
      </c>
      <c r="AU501" s="38"/>
      <c r="AV501" s="38"/>
      <c r="AW501" s="38"/>
    </row>
    <row r="502" spans="45:49">
      <c r="AS502" s="40" t="s">
        <v>648</v>
      </c>
      <c r="AT502" s="41" t="s">
        <v>669</v>
      </c>
      <c r="AU502" s="38"/>
      <c r="AV502" s="38"/>
      <c r="AW502" s="38"/>
    </row>
    <row r="503" spans="45:49">
      <c r="AS503" s="40" t="s">
        <v>648</v>
      </c>
      <c r="AT503" s="41" t="s">
        <v>670</v>
      </c>
      <c r="AU503" s="38"/>
      <c r="AV503" s="38"/>
      <c r="AW503" s="38"/>
    </row>
    <row r="504" spans="45:49">
      <c r="AS504" s="40" t="s">
        <v>671</v>
      </c>
      <c r="AT504" s="41" t="s">
        <v>672</v>
      </c>
      <c r="AU504" s="38"/>
      <c r="AV504" s="38"/>
      <c r="AW504" s="38"/>
    </row>
    <row r="505" spans="45:49">
      <c r="AS505" s="40" t="s">
        <v>671</v>
      </c>
      <c r="AT505" s="41" t="s">
        <v>673</v>
      </c>
      <c r="AU505" s="38"/>
      <c r="AV505" s="38"/>
      <c r="AW505" s="38"/>
    </row>
    <row r="506" spans="45:49">
      <c r="AS506" s="40" t="s">
        <v>671</v>
      </c>
      <c r="AT506" s="41" t="s">
        <v>674</v>
      </c>
      <c r="AU506" s="38"/>
      <c r="AV506" s="38"/>
      <c r="AW506" s="38"/>
    </row>
    <row r="507" spans="45:49">
      <c r="AS507" s="40" t="s">
        <v>671</v>
      </c>
      <c r="AT507" s="41" t="s">
        <v>675</v>
      </c>
      <c r="AU507" s="38"/>
      <c r="AV507" s="38"/>
      <c r="AW507" s="38"/>
    </row>
    <row r="508" spans="45:49">
      <c r="AS508" s="40" t="s">
        <v>671</v>
      </c>
      <c r="AT508" s="41" t="s">
        <v>676</v>
      </c>
      <c r="AU508" s="38"/>
      <c r="AV508" s="38"/>
      <c r="AW508" s="38"/>
    </row>
    <row r="509" spans="45:49">
      <c r="AS509" s="40" t="s">
        <v>671</v>
      </c>
      <c r="AT509" s="41" t="s">
        <v>677</v>
      </c>
      <c r="AU509" s="38"/>
      <c r="AV509" s="38"/>
      <c r="AW509" s="38"/>
    </row>
    <row r="510" spans="45:49">
      <c r="AS510" s="40" t="s">
        <v>671</v>
      </c>
      <c r="AT510" s="41" t="s">
        <v>678</v>
      </c>
      <c r="AU510" s="38"/>
      <c r="AV510" s="38"/>
      <c r="AW510" s="38"/>
    </row>
    <row r="511" spans="45:49">
      <c r="AS511" s="40" t="s">
        <v>671</v>
      </c>
      <c r="AT511" s="41" t="s">
        <v>679</v>
      </c>
      <c r="AU511" s="38"/>
      <c r="AV511" s="38"/>
      <c r="AW511" s="38"/>
    </row>
    <row r="512" spans="45:49">
      <c r="AS512" s="40" t="s">
        <v>671</v>
      </c>
      <c r="AT512" s="41" t="s">
        <v>680</v>
      </c>
      <c r="AU512" s="38"/>
      <c r="AV512" s="38"/>
      <c r="AW512" s="38"/>
    </row>
    <row r="513" spans="45:49">
      <c r="AS513" s="40" t="s">
        <v>671</v>
      </c>
      <c r="AT513" s="41" t="s">
        <v>681</v>
      </c>
      <c r="AU513" s="38"/>
      <c r="AV513" s="38"/>
      <c r="AW513" s="38"/>
    </row>
    <row r="514" spans="45:49">
      <c r="AS514" s="40" t="s">
        <v>671</v>
      </c>
      <c r="AT514" s="41" t="s">
        <v>682</v>
      </c>
      <c r="AU514" s="38"/>
      <c r="AV514" s="38"/>
      <c r="AW514" s="38"/>
    </row>
    <row r="515" spans="45:49">
      <c r="AS515" s="40" t="s">
        <v>671</v>
      </c>
      <c r="AT515" s="41" t="s">
        <v>683</v>
      </c>
      <c r="AU515" s="38"/>
      <c r="AV515" s="38"/>
      <c r="AW515" s="38"/>
    </row>
    <row r="516" spans="45:49">
      <c r="AS516" s="40" t="s">
        <v>671</v>
      </c>
      <c r="AT516" s="41" t="s">
        <v>684</v>
      </c>
      <c r="AU516" s="38"/>
      <c r="AV516" s="38"/>
      <c r="AW516" s="38"/>
    </row>
    <row r="517" spans="45:49">
      <c r="AS517" s="40" t="s">
        <v>671</v>
      </c>
      <c r="AT517" s="41" t="s">
        <v>685</v>
      </c>
      <c r="AU517" s="38"/>
      <c r="AV517" s="38"/>
      <c r="AW517" s="38"/>
    </row>
    <row r="518" spans="45:49">
      <c r="AS518" s="40" t="s">
        <v>671</v>
      </c>
      <c r="AT518" s="41" t="s">
        <v>686</v>
      </c>
      <c r="AU518" s="38"/>
      <c r="AV518" s="38"/>
      <c r="AW518" s="38"/>
    </row>
    <row r="519" spans="45:49">
      <c r="AS519" s="40" t="s">
        <v>671</v>
      </c>
      <c r="AT519" s="41" t="s">
        <v>687</v>
      </c>
      <c r="AU519" s="38"/>
      <c r="AV519" s="38"/>
      <c r="AW519" s="38"/>
    </row>
    <row r="520" spans="45:49">
      <c r="AS520" s="40" t="s">
        <v>671</v>
      </c>
      <c r="AT520" s="41" t="s">
        <v>688</v>
      </c>
      <c r="AU520" s="38"/>
      <c r="AV520" s="38"/>
      <c r="AW520" s="38"/>
    </row>
    <row r="521" spans="45:49">
      <c r="AS521" s="40" t="s">
        <v>671</v>
      </c>
      <c r="AT521" s="41" t="s">
        <v>689</v>
      </c>
      <c r="AU521" s="38"/>
      <c r="AV521" s="38"/>
      <c r="AW521" s="38"/>
    </row>
    <row r="522" spans="45:49">
      <c r="AS522" s="40" t="s">
        <v>671</v>
      </c>
      <c r="AT522" s="41" t="s">
        <v>690</v>
      </c>
      <c r="AU522" s="38"/>
      <c r="AV522" s="38"/>
      <c r="AW522" s="38"/>
    </row>
    <row r="523" spans="45:49">
      <c r="AS523" s="40" t="s">
        <v>671</v>
      </c>
      <c r="AT523" s="41" t="s">
        <v>691</v>
      </c>
      <c r="AU523" s="38"/>
      <c r="AV523" s="38"/>
      <c r="AW523" s="38"/>
    </row>
    <row r="524" spans="45:49">
      <c r="AS524" s="40" t="s">
        <v>671</v>
      </c>
      <c r="AT524" s="41" t="s">
        <v>692</v>
      </c>
      <c r="AU524" s="38"/>
      <c r="AV524" s="38"/>
      <c r="AW524" s="38"/>
    </row>
    <row r="525" spans="45:49">
      <c r="AS525" s="40" t="s">
        <v>671</v>
      </c>
      <c r="AT525" s="41" t="s">
        <v>693</v>
      </c>
      <c r="AU525" s="38"/>
      <c r="AV525" s="38"/>
      <c r="AW525" s="38"/>
    </row>
    <row r="526" spans="45:49">
      <c r="AS526" s="40" t="s">
        <v>671</v>
      </c>
      <c r="AT526" s="41" t="s">
        <v>694</v>
      </c>
      <c r="AU526" s="38"/>
      <c r="AV526" s="38"/>
      <c r="AW526" s="38"/>
    </row>
    <row r="527" spans="45:49">
      <c r="AS527" s="40" t="s">
        <v>671</v>
      </c>
      <c r="AT527" s="41" t="s">
        <v>695</v>
      </c>
      <c r="AU527" s="38"/>
      <c r="AV527" s="38"/>
      <c r="AW527" s="38"/>
    </row>
    <row r="528" spans="45:49">
      <c r="AS528" s="40" t="s">
        <v>671</v>
      </c>
      <c r="AT528" s="41" t="s">
        <v>696</v>
      </c>
      <c r="AU528" s="38"/>
      <c r="AV528" s="38"/>
      <c r="AW528" s="38"/>
    </row>
    <row r="529" spans="45:49">
      <c r="AS529" s="40" t="s">
        <v>671</v>
      </c>
      <c r="AT529" s="41" t="s">
        <v>697</v>
      </c>
      <c r="AU529" s="38"/>
      <c r="AV529" s="38"/>
      <c r="AW529" s="38"/>
    </row>
    <row r="530" spans="45:49">
      <c r="AS530" s="40" t="s">
        <v>671</v>
      </c>
      <c r="AT530" s="41" t="s">
        <v>698</v>
      </c>
      <c r="AU530" s="38"/>
      <c r="AV530" s="38"/>
      <c r="AW530" s="38"/>
    </row>
    <row r="531" spans="45:49">
      <c r="AS531" s="40" t="s">
        <v>671</v>
      </c>
      <c r="AT531" s="41" t="s">
        <v>699</v>
      </c>
      <c r="AU531" s="38"/>
      <c r="AV531" s="38"/>
      <c r="AW531" s="38"/>
    </row>
    <row r="532" spans="45:49">
      <c r="AS532" s="40" t="s">
        <v>671</v>
      </c>
      <c r="AT532" s="41" t="s">
        <v>700</v>
      </c>
      <c r="AU532" s="38"/>
      <c r="AV532" s="38"/>
      <c r="AW532" s="38"/>
    </row>
    <row r="533" spans="45:49">
      <c r="AS533" s="40" t="s">
        <v>671</v>
      </c>
      <c r="AT533" s="41" t="s">
        <v>701</v>
      </c>
      <c r="AU533" s="38"/>
      <c r="AV533" s="38"/>
      <c r="AW533" s="38"/>
    </row>
    <row r="534" spans="45:49">
      <c r="AS534" s="40" t="s">
        <v>671</v>
      </c>
      <c r="AT534" s="41" t="s">
        <v>702</v>
      </c>
      <c r="AU534" s="38"/>
      <c r="AV534" s="38"/>
      <c r="AW534" s="38"/>
    </row>
    <row r="535" spans="45:49">
      <c r="AS535" s="40" t="s">
        <v>671</v>
      </c>
      <c r="AT535" s="41" t="s">
        <v>703</v>
      </c>
      <c r="AU535" s="38"/>
      <c r="AV535" s="38"/>
      <c r="AW535" s="38"/>
    </row>
    <row r="536" spans="45:49">
      <c r="AS536" s="40" t="s">
        <v>671</v>
      </c>
      <c r="AT536" s="41" t="s">
        <v>704</v>
      </c>
      <c r="AU536" s="38"/>
      <c r="AV536" s="38"/>
      <c r="AW536" s="38"/>
    </row>
    <row r="537" spans="45:49">
      <c r="AS537" s="40" t="s">
        <v>705</v>
      </c>
      <c r="AT537" s="41" t="s">
        <v>298</v>
      </c>
      <c r="AU537" s="38"/>
      <c r="AV537" s="38"/>
      <c r="AW537" s="38"/>
    </row>
    <row r="538" spans="45:49">
      <c r="AS538" s="40" t="s">
        <v>705</v>
      </c>
      <c r="AT538" s="41" t="s">
        <v>300</v>
      </c>
      <c r="AU538" s="38"/>
      <c r="AV538" s="38"/>
      <c r="AW538" s="38"/>
    </row>
    <row r="539" spans="45:49">
      <c r="AS539" s="40" t="s">
        <v>705</v>
      </c>
      <c r="AT539" s="41" t="s">
        <v>304</v>
      </c>
      <c r="AU539" s="38"/>
      <c r="AV539" s="38"/>
      <c r="AW539" s="38"/>
    </row>
    <row r="540" spans="45:49">
      <c r="AS540" s="40" t="s">
        <v>705</v>
      </c>
      <c r="AT540" s="41" t="s">
        <v>307</v>
      </c>
      <c r="AU540" s="38"/>
      <c r="AV540" s="38"/>
      <c r="AW540" s="38"/>
    </row>
    <row r="541" spans="45:49">
      <c r="AS541" s="40" t="s">
        <v>706</v>
      </c>
      <c r="AT541" s="41" t="s">
        <v>707</v>
      </c>
      <c r="AU541" s="38"/>
      <c r="AV541" s="38"/>
      <c r="AW541" s="38"/>
    </row>
    <row r="542" spans="45:49">
      <c r="AS542" s="40" t="s">
        <v>706</v>
      </c>
      <c r="AT542" s="41" t="s">
        <v>708</v>
      </c>
      <c r="AU542" s="38"/>
      <c r="AV542" s="38"/>
      <c r="AW542" s="38"/>
    </row>
    <row r="543" spans="45:49">
      <c r="AS543" s="40" t="s">
        <v>706</v>
      </c>
      <c r="AT543" s="41" t="s">
        <v>709</v>
      </c>
      <c r="AU543" s="38"/>
      <c r="AV543" s="38"/>
      <c r="AW543" s="38"/>
    </row>
    <row r="544" spans="45:49">
      <c r="AS544" s="40" t="s">
        <v>706</v>
      </c>
      <c r="AT544" s="41" t="s">
        <v>710</v>
      </c>
      <c r="AU544" s="38"/>
      <c r="AV544" s="38"/>
      <c r="AW544" s="38"/>
    </row>
    <row r="545" spans="45:49">
      <c r="AS545" s="40" t="s">
        <v>706</v>
      </c>
      <c r="AT545" s="41" t="s">
        <v>711</v>
      </c>
      <c r="AU545" s="38"/>
      <c r="AV545" s="38"/>
      <c r="AW545" s="38"/>
    </row>
    <row r="546" spans="45:49">
      <c r="AS546" s="40" t="s">
        <v>706</v>
      </c>
      <c r="AT546" s="41" t="s">
        <v>712</v>
      </c>
      <c r="AU546" s="38"/>
      <c r="AV546" s="38"/>
      <c r="AW546" s="38"/>
    </row>
    <row r="547" spans="45:49">
      <c r="AS547" s="40" t="s">
        <v>706</v>
      </c>
      <c r="AT547" s="41" t="s">
        <v>713</v>
      </c>
      <c r="AU547" s="38"/>
      <c r="AV547" s="38"/>
      <c r="AW547" s="38"/>
    </row>
    <row r="548" spans="45:49">
      <c r="AS548" s="40" t="s">
        <v>706</v>
      </c>
      <c r="AT548" s="41" t="s">
        <v>714</v>
      </c>
      <c r="AU548" s="38"/>
      <c r="AV548" s="38"/>
      <c r="AW548" s="38"/>
    </row>
    <row r="549" spans="45:49">
      <c r="AS549" s="40" t="s">
        <v>706</v>
      </c>
      <c r="AT549" s="41" t="s">
        <v>715</v>
      </c>
      <c r="AU549" s="38"/>
      <c r="AV549" s="38"/>
      <c r="AW549" s="38"/>
    </row>
    <row r="550" spans="45:49">
      <c r="AS550" s="40" t="s">
        <v>706</v>
      </c>
      <c r="AT550" s="41" t="s">
        <v>716</v>
      </c>
      <c r="AU550" s="38"/>
      <c r="AV550" s="38"/>
      <c r="AW550" s="38"/>
    </row>
    <row r="551" spans="45:49">
      <c r="AS551" s="40" t="s">
        <v>706</v>
      </c>
      <c r="AT551" s="41" t="s">
        <v>717</v>
      </c>
      <c r="AU551" s="38"/>
      <c r="AV551" s="38"/>
      <c r="AW551" s="38"/>
    </row>
    <row r="552" spans="45:49">
      <c r="AS552" s="40" t="s">
        <v>706</v>
      </c>
      <c r="AT552" s="41" t="s">
        <v>718</v>
      </c>
      <c r="AU552" s="38"/>
      <c r="AV552" s="38"/>
      <c r="AW552" s="38"/>
    </row>
    <row r="553" spans="45:49">
      <c r="AS553" s="40" t="s">
        <v>706</v>
      </c>
      <c r="AT553" s="41" t="s">
        <v>719</v>
      </c>
      <c r="AU553" s="38"/>
      <c r="AV553" s="38"/>
      <c r="AW553" s="38"/>
    </row>
    <row r="554" spans="45:49">
      <c r="AS554" s="40" t="s">
        <v>706</v>
      </c>
      <c r="AT554" s="41" t="s">
        <v>720</v>
      </c>
      <c r="AU554" s="38"/>
      <c r="AV554" s="38"/>
      <c r="AW554" s="38"/>
    </row>
    <row r="555" spans="45:49">
      <c r="AS555" s="40" t="s">
        <v>706</v>
      </c>
      <c r="AT555" s="41" t="s">
        <v>721</v>
      </c>
      <c r="AU555" s="38"/>
      <c r="AV555" s="38"/>
      <c r="AW555" s="38"/>
    </row>
    <row r="556" spans="45:49">
      <c r="AS556" s="40" t="s">
        <v>706</v>
      </c>
      <c r="AT556" s="41" t="s">
        <v>722</v>
      </c>
      <c r="AU556" s="38"/>
      <c r="AV556" s="38"/>
      <c r="AW556" s="38"/>
    </row>
    <row r="557" spans="45:49">
      <c r="AS557" s="40" t="s">
        <v>706</v>
      </c>
      <c r="AT557" s="41" t="s">
        <v>723</v>
      </c>
      <c r="AU557" s="38"/>
      <c r="AV557" s="38"/>
      <c r="AW557" s="38"/>
    </row>
    <row r="558" spans="45:49">
      <c r="AS558" s="40" t="s">
        <v>706</v>
      </c>
      <c r="AT558" s="41" t="s">
        <v>724</v>
      </c>
      <c r="AU558" s="38"/>
      <c r="AV558" s="38"/>
      <c r="AW558" s="38"/>
    </row>
    <row r="559" spans="45:49">
      <c r="AS559" s="40" t="s">
        <v>706</v>
      </c>
      <c r="AT559" s="41" t="s">
        <v>725</v>
      </c>
      <c r="AU559" s="38"/>
      <c r="AV559" s="38"/>
      <c r="AW559" s="38"/>
    </row>
    <row r="560" spans="45:49">
      <c r="AS560" s="40" t="s">
        <v>706</v>
      </c>
      <c r="AT560" s="41" t="s">
        <v>726</v>
      </c>
      <c r="AU560" s="38"/>
      <c r="AV560" s="38"/>
      <c r="AW560" s="38"/>
    </row>
    <row r="561" spans="45:49">
      <c r="AS561" s="40" t="s">
        <v>706</v>
      </c>
      <c r="AT561" s="41" t="s">
        <v>727</v>
      </c>
      <c r="AU561" s="38"/>
      <c r="AV561" s="38"/>
      <c r="AW561" s="38"/>
    </row>
    <row r="562" spans="45:49">
      <c r="AS562" s="40" t="s">
        <v>706</v>
      </c>
      <c r="AT562" s="41" t="s">
        <v>728</v>
      </c>
      <c r="AU562" s="38"/>
      <c r="AV562" s="38"/>
      <c r="AW562" s="38"/>
    </row>
    <row r="563" spans="45:49">
      <c r="AS563" s="40" t="s">
        <v>706</v>
      </c>
      <c r="AT563" s="41" t="s">
        <v>729</v>
      </c>
      <c r="AU563" s="38"/>
      <c r="AV563" s="38"/>
      <c r="AW563" s="38"/>
    </row>
    <row r="564" spans="45:49">
      <c r="AS564" s="40" t="s">
        <v>706</v>
      </c>
      <c r="AT564" s="41" t="s">
        <v>730</v>
      </c>
      <c r="AU564" s="38"/>
      <c r="AV564" s="38"/>
      <c r="AW564" s="38"/>
    </row>
    <row r="565" spans="45:49">
      <c r="AS565" s="40" t="s">
        <v>706</v>
      </c>
      <c r="AT565" s="41" t="s">
        <v>731</v>
      </c>
      <c r="AU565" s="38"/>
      <c r="AV565" s="38"/>
      <c r="AW565" s="38"/>
    </row>
    <row r="566" spans="45:49">
      <c r="AS566" s="40" t="s">
        <v>706</v>
      </c>
      <c r="AT566" s="41" t="s">
        <v>732</v>
      </c>
      <c r="AU566" s="38"/>
      <c r="AV566" s="38"/>
      <c r="AW566" s="38"/>
    </row>
    <row r="567" spans="45:49">
      <c r="AS567" s="40" t="s">
        <v>706</v>
      </c>
      <c r="AT567" s="41" t="s">
        <v>733</v>
      </c>
      <c r="AU567" s="38"/>
      <c r="AV567" s="38"/>
      <c r="AW567" s="38"/>
    </row>
    <row r="568" spans="45:49">
      <c r="AS568" s="40" t="s">
        <v>706</v>
      </c>
      <c r="AT568" s="41" t="s">
        <v>734</v>
      </c>
      <c r="AU568" s="38"/>
      <c r="AV568" s="38"/>
      <c r="AW568" s="38"/>
    </row>
    <row r="569" spans="45:49">
      <c r="AS569" s="40" t="s">
        <v>706</v>
      </c>
      <c r="AT569" s="41" t="s">
        <v>735</v>
      </c>
      <c r="AU569" s="38"/>
      <c r="AV569" s="38"/>
      <c r="AW569" s="38"/>
    </row>
    <row r="570" spans="45:49">
      <c r="AS570" s="40" t="s">
        <v>706</v>
      </c>
      <c r="AT570" s="41" t="s">
        <v>736</v>
      </c>
      <c r="AU570" s="38"/>
      <c r="AV570" s="38"/>
      <c r="AW570" s="38"/>
    </row>
    <row r="571" spans="45:49">
      <c r="AS571" s="40" t="s">
        <v>706</v>
      </c>
      <c r="AT571" s="41" t="s">
        <v>737</v>
      </c>
      <c r="AU571" s="38"/>
      <c r="AV571" s="38"/>
      <c r="AW571" s="38"/>
    </row>
    <row r="572" spans="45:49">
      <c r="AS572" s="40" t="s">
        <v>706</v>
      </c>
      <c r="AT572" s="41" t="s">
        <v>738</v>
      </c>
      <c r="AU572" s="38"/>
      <c r="AV572" s="38"/>
      <c r="AW572" s="38"/>
    </row>
    <row r="573" spans="45:49">
      <c r="AS573" s="40" t="s">
        <v>739</v>
      </c>
      <c r="AT573" s="41" t="s">
        <v>740</v>
      </c>
      <c r="AU573" s="38"/>
      <c r="AV573" s="38"/>
      <c r="AW573" s="38"/>
    </row>
    <row r="574" spans="45:49">
      <c r="AS574" s="40" t="s">
        <v>739</v>
      </c>
      <c r="AT574" s="41" t="s">
        <v>741</v>
      </c>
      <c r="AU574" s="38"/>
      <c r="AV574" s="38"/>
      <c r="AW574" s="38"/>
    </row>
    <row r="575" spans="45:49">
      <c r="AS575" s="40" t="s">
        <v>739</v>
      </c>
      <c r="AT575" s="41" t="s">
        <v>742</v>
      </c>
      <c r="AU575" s="38"/>
      <c r="AV575" s="38"/>
      <c r="AW575" s="38"/>
    </row>
    <row r="576" spans="45:49">
      <c r="AS576" s="40" t="s">
        <v>739</v>
      </c>
      <c r="AT576" s="41" t="s">
        <v>743</v>
      </c>
      <c r="AU576" s="38"/>
      <c r="AV576" s="38"/>
      <c r="AW576" s="38"/>
    </row>
    <row r="577" spans="45:49">
      <c r="AS577" s="40" t="s">
        <v>739</v>
      </c>
      <c r="AT577" s="41" t="s">
        <v>744</v>
      </c>
      <c r="AU577" s="38"/>
      <c r="AV577" s="38"/>
      <c r="AW577" s="38"/>
    </row>
    <row r="578" spans="45:49">
      <c r="AS578" s="40" t="s">
        <v>739</v>
      </c>
      <c r="AT578" s="41" t="s">
        <v>745</v>
      </c>
      <c r="AU578" s="38"/>
      <c r="AV578" s="38"/>
      <c r="AW578" s="38"/>
    </row>
    <row r="579" spans="45:49">
      <c r="AS579" s="40" t="s">
        <v>739</v>
      </c>
      <c r="AT579" s="41" t="s">
        <v>746</v>
      </c>
      <c r="AU579" s="38"/>
      <c r="AV579" s="38"/>
      <c r="AW579" s="38"/>
    </row>
    <row r="580" spans="45:49">
      <c r="AS580" s="40" t="s">
        <v>739</v>
      </c>
      <c r="AT580" s="56" t="s">
        <v>747</v>
      </c>
      <c r="AU580" s="38"/>
      <c r="AV580" s="38"/>
      <c r="AW580" s="38"/>
    </row>
    <row r="581" spans="45:49">
      <c r="AS581" s="40" t="s">
        <v>739</v>
      </c>
      <c r="AT581" s="41" t="s">
        <v>748</v>
      </c>
      <c r="AU581" s="38"/>
      <c r="AV581" s="38"/>
      <c r="AW581" s="38"/>
    </row>
    <row r="582" spans="45:49">
      <c r="AS582" s="40" t="s">
        <v>739</v>
      </c>
      <c r="AT582" s="41" t="s">
        <v>749</v>
      </c>
      <c r="AU582" s="38"/>
      <c r="AV582" s="38"/>
      <c r="AW582" s="38"/>
    </row>
    <row r="583" spans="45:49">
      <c r="AS583" s="40" t="s">
        <v>739</v>
      </c>
      <c r="AT583" s="41" t="s">
        <v>750</v>
      </c>
      <c r="AU583" s="38"/>
      <c r="AV583" s="38"/>
      <c r="AW583" s="38"/>
    </row>
    <row r="584" spans="45:49">
      <c r="AS584" s="40" t="s">
        <v>739</v>
      </c>
      <c r="AT584" s="41" t="s">
        <v>751</v>
      </c>
      <c r="AU584" s="38"/>
      <c r="AV584" s="38"/>
      <c r="AW584" s="38"/>
    </row>
    <row r="585" spans="45:49">
      <c r="AS585" s="40" t="s">
        <v>739</v>
      </c>
      <c r="AT585" s="41" t="s">
        <v>752</v>
      </c>
      <c r="AU585" s="38"/>
      <c r="AV585" s="38"/>
      <c r="AW585" s="38"/>
    </row>
    <row r="586" spans="45:49">
      <c r="AS586" s="40" t="s">
        <v>739</v>
      </c>
      <c r="AT586" s="41" t="s">
        <v>753</v>
      </c>
      <c r="AU586" s="38"/>
      <c r="AV586" s="38"/>
      <c r="AW586" s="38"/>
    </row>
    <row r="587" spans="45:49">
      <c r="AS587" s="40" t="s">
        <v>739</v>
      </c>
      <c r="AT587" s="41" t="s">
        <v>754</v>
      </c>
      <c r="AU587" s="38"/>
      <c r="AV587" s="38"/>
      <c r="AW587" s="38"/>
    </row>
    <row r="588" spans="45:49">
      <c r="AS588" s="40" t="s">
        <v>739</v>
      </c>
      <c r="AT588" s="41" t="s">
        <v>755</v>
      </c>
      <c r="AU588" s="38"/>
      <c r="AV588" s="38"/>
      <c r="AW588" s="38"/>
    </row>
    <row r="589" spans="45:49">
      <c r="AS589" s="40" t="s">
        <v>739</v>
      </c>
      <c r="AT589" s="41" t="s">
        <v>756</v>
      </c>
      <c r="AU589" s="38"/>
      <c r="AV589" s="38"/>
      <c r="AW589" s="38"/>
    </row>
    <row r="590" spans="45:49">
      <c r="AS590" s="40" t="s">
        <v>739</v>
      </c>
      <c r="AT590" s="41" t="s">
        <v>757</v>
      </c>
      <c r="AU590" s="38"/>
      <c r="AV590" s="38"/>
      <c r="AW590" s="38"/>
    </row>
    <row r="591" spans="45:49">
      <c r="AS591" s="40" t="s">
        <v>739</v>
      </c>
      <c r="AT591" s="41" t="s">
        <v>758</v>
      </c>
      <c r="AU591" s="38"/>
      <c r="AV591" s="38"/>
      <c r="AW591" s="38"/>
    </row>
    <row r="592" spans="45:49">
      <c r="AS592" s="40" t="s">
        <v>739</v>
      </c>
      <c r="AT592" s="41" t="s">
        <v>759</v>
      </c>
      <c r="AU592" s="38"/>
      <c r="AV592" s="38"/>
      <c r="AW592" s="38"/>
    </row>
    <row r="593" spans="45:49">
      <c r="AS593" s="40" t="s">
        <v>739</v>
      </c>
      <c r="AT593" s="41" t="s">
        <v>760</v>
      </c>
      <c r="AU593" s="38"/>
      <c r="AV593" s="38"/>
      <c r="AW593" s="38"/>
    </row>
    <row r="594" spans="45:49">
      <c r="AS594" s="40" t="s">
        <v>739</v>
      </c>
      <c r="AT594" s="41" t="s">
        <v>761</v>
      </c>
      <c r="AU594" s="38"/>
      <c r="AV594" s="38"/>
      <c r="AW594" s="38"/>
    </row>
    <row r="595" spans="45:49">
      <c r="AS595" s="40" t="s">
        <v>739</v>
      </c>
      <c r="AT595" s="41" t="s">
        <v>762</v>
      </c>
      <c r="AU595" s="38"/>
      <c r="AV595" s="38"/>
      <c r="AW595" s="38"/>
    </row>
    <row r="596" spans="45:49">
      <c r="AS596" s="40" t="s">
        <v>739</v>
      </c>
      <c r="AT596" s="41" t="s">
        <v>763</v>
      </c>
      <c r="AU596" s="38"/>
      <c r="AV596" s="38"/>
      <c r="AW596" s="38"/>
    </row>
    <row r="597" spans="45:49">
      <c r="AS597" s="40" t="s">
        <v>739</v>
      </c>
      <c r="AT597" s="41" t="s">
        <v>764</v>
      </c>
      <c r="AU597" s="38"/>
      <c r="AV597" s="38"/>
      <c r="AW597" s="38"/>
    </row>
    <row r="598" spans="45:49">
      <c r="AS598" s="40" t="s">
        <v>739</v>
      </c>
      <c r="AT598" s="41" t="s">
        <v>765</v>
      </c>
      <c r="AU598" s="38"/>
      <c r="AV598" s="38"/>
      <c r="AW598" s="38"/>
    </row>
    <row r="599" spans="45:49">
      <c r="AS599" s="40" t="s">
        <v>739</v>
      </c>
      <c r="AT599" s="41" t="s">
        <v>766</v>
      </c>
      <c r="AU599" s="38"/>
      <c r="AV599" s="38"/>
      <c r="AW599" s="38"/>
    </row>
    <row r="600" spans="45:49">
      <c r="AS600" s="40" t="s">
        <v>739</v>
      </c>
      <c r="AT600" s="41" t="s">
        <v>767</v>
      </c>
      <c r="AU600" s="38"/>
      <c r="AV600" s="38"/>
      <c r="AW600" s="38"/>
    </row>
    <row r="601" spans="45:49">
      <c r="AS601" s="40" t="s">
        <v>739</v>
      </c>
      <c r="AT601" s="41" t="s">
        <v>768</v>
      </c>
      <c r="AU601" s="38"/>
      <c r="AV601" s="38"/>
      <c r="AW601" s="38"/>
    </row>
    <row r="602" spans="45:49">
      <c r="AS602" s="40" t="s">
        <v>739</v>
      </c>
      <c r="AT602" s="41" t="s">
        <v>769</v>
      </c>
      <c r="AU602" s="38"/>
      <c r="AV602" s="38"/>
      <c r="AW602" s="38"/>
    </row>
    <row r="603" spans="45:49">
      <c r="AS603" s="40" t="s">
        <v>739</v>
      </c>
      <c r="AT603" s="57" t="s">
        <v>770</v>
      </c>
      <c r="AU603" s="38"/>
      <c r="AV603" s="38"/>
      <c r="AW603" s="38"/>
    </row>
    <row r="604" spans="45:49">
      <c r="AS604" s="40" t="s">
        <v>771</v>
      </c>
      <c r="AT604" s="41" t="s">
        <v>772</v>
      </c>
      <c r="AU604" s="38"/>
      <c r="AV604" s="38"/>
      <c r="AW604" s="38"/>
    </row>
    <row r="605" spans="45:49">
      <c r="AS605" s="40" t="s">
        <v>771</v>
      </c>
      <c r="AT605" s="41" t="s">
        <v>773</v>
      </c>
      <c r="AU605" s="38"/>
      <c r="AV605" s="38"/>
      <c r="AW605" s="38"/>
    </row>
    <row r="606" spans="45:49">
      <c r="AS606" s="40" t="s">
        <v>771</v>
      </c>
      <c r="AT606" s="41" t="s">
        <v>774</v>
      </c>
      <c r="AU606" s="38"/>
      <c r="AV606" s="38"/>
      <c r="AW606" s="38"/>
    </row>
    <row r="607" spans="45:49">
      <c r="AS607" s="40" t="s">
        <v>771</v>
      </c>
      <c r="AT607" s="41" t="s">
        <v>775</v>
      </c>
      <c r="AU607" s="38"/>
      <c r="AV607" s="38"/>
      <c r="AW607" s="38"/>
    </row>
    <row r="608" spans="45:49">
      <c r="AS608" s="40" t="s">
        <v>771</v>
      </c>
      <c r="AT608" s="41" t="s">
        <v>776</v>
      </c>
      <c r="AU608" s="38"/>
      <c r="AV608" s="38"/>
      <c r="AW608" s="38"/>
    </row>
    <row r="609" spans="45:49">
      <c r="AS609" s="40" t="s">
        <v>771</v>
      </c>
      <c r="AT609" s="41" t="s">
        <v>777</v>
      </c>
      <c r="AU609" s="38"/>
      <c r="AV609" s="38"/>
      <c r="AW609" s="38"/>
    </row>
    <row r="610" spans="45:49">
      <c r="AS610" s="40" t="s">
        <v>771</v>
      </c>
      <c r="AT610" s="41" t="s">
        <v>778</v>
      </c>
      <c r="AU610" s="38"/>
      <c r="AV610" s="38"/>
      <c r="AW610" s="38"/>
    </row>
    <row r="611" spans="45:49">
      <c r="AS611" s="40" t="s">
        <v>771</v>
      </c>
      <c r="AT611" s="41" t="s">
        <v>779</v>
      </c>
      <c r="AU611" s="38"/>
      <c r="AV611" s="38"/>
      <c r="AW611" s="38"/>
    </row>
    <row r="612" spans="45:49">
      <c r="AS612" s="40" t="s">
        <v>780</v>
      </c>
      <c r="AT612" s="41" t="s">
        <v>781</v>
      </c>
      <c r="AU612" s="38"/>
      <c r="AV612" s="38"/>
      <c r="AW612" s="38"/>
    </row>
    <row r="613" spans="45:49">
      <c r="AS613" s="40" t="s">
        <v>780</v>
      </c>
      <c r="AT613" s="41" t="s">
        <v>782</v>
      </c>
      <c r="AU613" s="38"/>
      <c r="AV613" s="38"/>
      <c r="AW613" s="38"/>
    </row>
    <row r="614" spans="45:49">
      <c r="AS614" s="40" t="s">
        <v>780</v>
      </c>
      <c r="AT614" s="41" t="s">
        <v>783</v>
      </c>
      <c r="AU614" s="38"/>
      <c r="AV614" s="38"/>
      <c r="AW614" s="38"/>
    </row>
    <row r="615" spans="45:49">
      <c r="AS615" s="40" t="s">
        <v>780</v>
      </c>
      <c r="AT615" s="41" t="s">
        <v>784</v>
      </c>
      <c r="AU615" s="38"/>
      <c r="AV615" s="38"/>
      <c r="AW615" s="38"/>
    </row>
    <row r="616" spans="45:49">
      <c r="AS616" s="40" t="s">
        <v>780</v>
      </c>
      <c r="AT616" s="41" t="s">
        <v>785</v>
      </c>
      <c r="AU616" s="38"/>
      <c r="AV616" s="38"/>
      <c r="AW616" s="38"/>
    </row>
    <row r="617" spans="45:49">
      <c r="AS617" s="40" t="s">
        <v>780</v>
      </c>
      <c r="AT617" s="41" t="s">
        <v>786</v>
      </c>
      <c r="AU617" s="38"/>
      <c r="AV617" s="38"/>
      <c r="AW617" s="38"/>
    </row>
    <row r="618" spans="45:49">
      <c r="AS618" s="40" t="s">
        <v>780</v>
      </c>
      <c r="AT618" s="41" t="s">
        <v>787</v>
      </c>
      <c r="AU618" s="38"/>
      <c r="AV618" s="38"/>
      <c r="AW618" s="38"/>
    </row>
    <row r="619" spans="45:49">
      <c r="AS619" s="40" t="s">
        <v>780</v>
      </c>
      <c r="AT619" s="41" t="s">
        <v>788</v>
      </c>
      <c r="AU619" s="38"/>
      <c r="AV619" s="38"/>
      <c r="AW619" s="38"/>
    </row>
    <row r="620" spans="45:49">
      <c r="AS620" s="40" t="s">
        <v>780</v>
      </c>
      <c r="AT620" s="41" t="s">
        <v>789</v>
      </c>
      <c r="AU620" s="38"/>
      <c r="AV620" s="38"/>
      <c r="AW620" s="38"/>
    </row>
    <row r="621" spans="45:49">
      <c r="AS621" s="40" t="s">
        <v>780</v>
      </c>
      <c r="AT621" s="41" t="s">
        <v>266</v>
      </c>
      <c r="AU621" s="38"/>
      <c r="AV621" s="38"/>
      <c r="AW621" s="38"/>
    </row>
    <row r="622" spans="45:49">
      <c r="AS622" s="40" t="s">
        <v>780</v>
      </c>
      <c r="AT622" s="41" t="s">
        <v>790</v>
      </c>
      <c r="AU622" s="38"/>
      <c r="AV622" s="38"/>
      <c r="AW622" s="38"/>
    </row>
    <row r="623" spans="45:49">
      <c r="AS623" s="40" t="s">
        <v>780</v>
      </c>
      <c r="AT623" s="41" t="s">
        <v>791</v>
      </c>
      <c r="AU623" s="38"/>
      <c r="AV623" s="38"/>
      <c r="AW623" s="38"/>
    </row>
    <row r="624" spans="45:49">
      <c r="AS624" s="40" t="s">
        <v>780</v>
      </c>
      <c r="AT624" s="41" t="s">
        <v>792</v>
      </c>
      <c r="AU624" s="38"/>
      <c r="AV624" s="38"/>
      <c r="AW624" s="38"/>
    </row>
    <row r="625" spans="45:49">
      <c r="AS625" s="40" t="s">
        <v>780</v>
      </c>
      <c r="AT625" s="41" t="s">
        <v>793</v>
      </c>
      <c r="AU625" s="38"/>
      <c r="AV625" s="38"/>
      <c r="AW625" s="38"/>
    </row>
    <row r="626" spans="45:49">
      <c r="AS626" s="40" t="s">
        <v>780</v>
      </c>
      <c r="AT626" s="41" t="s">
        <v>794</v>
      </c>
      <c r="AU626" s="38"/>
      <c r="AV626" s="38"/>
      <c r="AW626" s="38"/>
    </row>
    <row r="627" spans="45:49">
      <c r="AS627" s="40" t="s">
        <v>780</v>
      </c>
      <c r="AT627" s="41" t="s">
        <v>795</v>
      </c>
      <c r="AU627" s="38"/>
      <c r="AV627" s="38"/>
      <c r="AW627" s="38"/>
    </row>
    <row r="628" spans="45:49">
      <c r="AS628" s="40" t="s">
        <v>780</v>
      </c>
      <c r="AT628" s="41" t="s">
        <v>796</v>
      </c>
      <c r="AU628" s="38"/>
      <c r="AV628" s="38"/>
      <c r="AW628" s="38"/>
    </row>
    <row r="629" spans="45:49">
      <c r="AS629" s="40" t="s">
        <v>780</v>
      </c>
      <c r="AT629" s="41" t="s">
        <v>797</v>
      </c>
      <c r="AU629" s="38"/>
      <c r="AV629" s="38"/>
      <c r="AW629" s="38"/>
    </row>
    <row r="630" spans="45:49">
      <c r="AS630" s="40" t="s">
        <v>780</v>
      </c>
      <c r="AT630" s="41" t="s">
        <v>798</v>
      </c>
      <c r="AU630" s="38"/>
      <c r="AV630" s="38"/>
      <c r="AW630" s="38"/>
    </row>
    <row r="631" spans="45:49">
      <c r="AS631" s="40" t="s">
        <v>780</v>
      </c>
      <c r="AT631" s="41" t="s">
        <v>799</v>
      </c>
      <c r="AU631" s="38"/>
      <c r="AV631" s="38"/>
      <c r="AW631" s="38"/>
    </row>
    <row r="632" spans="45:49">
      <c r="AS632" s="40" t="s">
        <v>780</v>
      </c>
      <c r="AT632" s="41" t="s">
        <v>800</v>
      </c>
      <c r="AU632" s="38"/>
      <c r="AV632" s="38"/>
      <c r="AW632" s="38"/>
    </row>
    <row r="633" spans="45:49">
      <c r="AS633" s="40" t="s">
        <v>780</v>
      </c>
      <c r="AT633" s="41" t="s">
        <v>801</v>
      </c>
      <c r="AU633" s="38"/>
      <c r="AV633" s="38"/>
      <c r="AW633" s="38"/>
    </row>
    <row r="634" spans="45:49">
      <c r="AS634" s="40" t="s">
        <v>780</v>
      </c>
      <c r="AT634" s="41" t="s">
        <v>802</v>
      </c>
      <c r="AU634" s="38"/>
      <c r="AV634" s="38"/>
      <c r="AW634" s="38"/>
    </row>
    <row r="635" spans="45:49">
      <c r="AS635" s="40" t="s">
        <v>780</v>
      </c>
      <c r="AT635" s="41" t="s">
        <v>803</v>
      </c>
      <c r="AU635" s="38"/>
      <c r="AV635" s="38"/>
      <c r="AW635" s="38"/>
    </row>
    <row r="636" spans="45:49">
      <c r="AS636" s="40" t="s">
        <v>780</v>
      </c>
      <c r="AT636" s="41" t="s">
        <v>804</v>
      </c>
      <c r="AU636" s="38"/>
      <c r="AV636" s="38"/>
      <c r="AW636" s="38"/>
    </row>
    <row r="637" spans="45:49">
      <c r="AS637" s="40" t="s">
        <v>780</v>
      </c>
      <c r="AT637" s="41" t="s">
        <v>805</v>
      </c>
      <c r="AU637" s="38"/>
      <c r="AV637" s="38"/>
      <c r="AW637" s="38"/>
    </row>
    <row r="638" spans="45:49">
      <c r="AS638" s="40" t="s">
        <v>780</v>
      </c>
      <c r="AT638" s="41" t="s">
        <v>806</v>
      </c>
      <c r="AU638" s="38"/>
      <c r="AV638" s="38"/>
      <c r="AW638" s="38"/>
    </row>
    <row r="639" spans="45:49">
      <c r="AS639" s="40" t="s">
        <v>780</v>
      </c>
      <c r="AT639" s="41" t="s">
        <v>807</v>
      </c>
      <c r="AU639" s="38"/>
      <c r="AV639" s="38"/>
      <c r="AW639" s="38"/>
    </row>
    <row r="640" spans="45:49">
      <c r="AS640" s="40" t="s">
        <v>780</v>
      </c>
      <c r="AT640" s="41" t="s">
        <v>808</v>
      </c>
      <c r="AU640" s="38"/>
      <c r="AV640" s="38"/>
      <c r="AW640" s="38"/>
    </row>
    <row r="641" spans="45:49">
      <c r="AS641" s="40" t="s">
        <v>780</v>
      </c>
      <c r="AT641" s="41" t="s">
        <v>809</v>
      </c>
      <c r="AU641" s="38"/>
      <c r="AV641" s="38"/>
      <c r="AW641" s="38"/>
    </row>
    <row r="642" spans="45:49">
      <c r="AS642" s="40" t="s">
        <v>780</v>
      </c>
      <c r="AT642" s="41" t="s">
        <v>810</v>
      </c>
      <c r="AU642" s="38"/>
      <c r="AV642" s="38"/>
      <c r="AW642" s="38"/>
    </row>
    <row r="643" spans="45:49">
      <c r="AS643" s="40" t="s">
        <v>780</v>
      </c>
      <c r="AT643" s="41" t="s">
        <v>811</v>
      </c>
      <c r="AU643" s="38"/>
      <c r="AV643" s="38"/>
      <c r="AW643" s="38"/>
    </row>
    <row r="644" spans="45:49">
      <c r="AS644" s="40" t="s">
        <v>780</v>
      </c>
      <c r="AT644" s="41" t="s">
        <v>371</v>
      </c>
      <c r="AU644" s="38"/>
      <c r="AV644" s="38"/>
      <c r="AW644" s="38"/>
    </row>
    <row r="645" spans="45:49">
      <c r="AS645" s="40" t="s">
        <v>780</v>
      </c>
      <c r="AT645" s="41" t="s">
        <v>812</v>
      </c>
      <c r="AU645" s="38"/>
      <c r="AV645" s="38"/>
      <c r="AW645" s="38"/>
    </row>
    <row r="646" spans="45:49">
      <c r="AS646" s="40" t="s">
        <v>780</v>
      </c>
      <c r="AT646" s="41" t="s">
        <v>813</v>
      </c>
      <c r="AU646" s="38"/>
      <c r="AV646" s="38"/>
      <c r="AW646" s="38"/>
    </row>
    <row r="647" spans="45:49">
      <c r="AS647" s="40" t="s">
        <v>780</v>
      </c>
      <c r="AT647" s="41" t="s">
        <v>814</v>
      </c>
      <c r="AU647" s="38"/>
      <c r="AV647" s="38"/>
      <c r="AW647" s="38"/>
    </row>
    <row r="648" spans="45:49">
      <c r="AS648" s="40" t="s">
        <v>780</v>
      </c>
      <c r="AT648" s="41" t="s">
        <v>815</v>
      </c>
      <c r="AU648" s="38"/>
      <c r="AV648" s="38"/>
      <c r="AW648" s="38"/>
    </row>
    <row r="649" spans="45:49">
      <c r="AS649" s="40" t="s">
        <v>780</v>
      </c>
      <c r="AT649" s="41" t="s">
        <v>816</v>
      </c>
      <c r="AU649" s="38"/>
      <c r="AV649" s="38"/>
      <c r="AW649" s="38"/>
    </row>
    <row r="650" spans="45:49">
      <c r="AS650" s="40" t="s">
        <v>780</v>
      </c>
      <c r="AT650" s="41" t="s">
        <v>817</v>
      </c>
      <c r="AU650" s="38"/>
      <c r="AV650" s="38"/>
      <c r="AW650" s="38"/>
    </row>
    <row r="651" spans="45:49">
      <c r="AS651" s="40" t="s">
        <v>780</v>
      </c>
      <c r="AT651" s="41" t="s">
        <v>818</v>
      </c>
      <c r="AU651" s="38"/>
      <c r="AV651" s="38"/>
      <c r="AW651" s="38"/>
    </row>
    <row r="652" spans="45:49">
      <c r="AS652" s="40" t="s">
        <v>780</v>
      </c>
      <c r="AT652" s="41" t="s">
        <v>819</v>
      </c>
      <c r="AU652" s="38"/>
      <c r="AV652" s="38"/>
      <c r="AW652" s="38"/>
    </row>
    <row r="653" spans="45:49">
      <c r="AS653" s="40" t="s">
        <v>780</v>
      </c>
      <c r="AT653" s="41" t="s">
        <v>820</v>
      </c>
      <c r="AU653" s="38"/>
      <c r="AV653" s="38"/>
      <c r="AW653" s="38"/>
    </row>
    <row r="654" spans="45:49">
      <c r="AS654" s="40" t="s">
        <v>780</v>
      </c>
      <c r="AT654" s="41" t="s">
        <v>821</v>
      </c>
      <c r="AU654" s="38"/>
      <c r="AV654" s="38"/>
      <c r="AW654" s="38"/>
    </row>
    <row r="655" spans="45:49">
      <c r="AS655" s="40" t="s">
        <v>780</v>
      </c>
      <c r="AT655" s="41" t="s">
        <v>822</v>
      </c>
      <c r="AU655" s="38"/>
      <c r="AV655" s="38"/>
      <c r="AW655" s="38"/>
    </row>
    <row r="656" spans="45:49">
      <c r="AS656" s="40" t="s">
        <v>780</v>
      </c>
      <c r="AT656" s="41" t="s">
        <v>823</v>
      </c>
      <c r="AU656" s="38"/>
      <c r="AV656" s="38"/>
      <c r="AW656" s="38"/>
    </row>
    <row r="657" spans="45:49">
      <c r="AS657" s="40" t="s">
        <v>780</v>
      </c>
      <c r="AT657" s="41" t="s">
        <v>824</v>
      </c>
      <c r="AU657" s="38"/>
      <c r="AV657" s="38"/>
      <c r="AW657" s="38"/>
    </row>
    <row r="658" spans="45:49">
      <c r="AS658" s="40" t="s">
        <v>780</v>
      </c>
      <c r="AT658" s="41" t="s">
        <v>825</v>
      </c>
      <c r="AU658" s="38"/>
      <c r="AV658" s="38"/>
      <c r="AW658" s="38"/>
    </row>
    <row r="659" spans="45:49">
      <c r="AS659" s="40" t="s">
        <v>780</v>
      </c>
      <c r="AT659" s="41" t="s">
        <v>826</v>
      </c>
      <c r="AU659" s="38"/>
      <c r="AV659" s="38"/>
      <c r="AW659" s="38"/>
    </row>
    <row r="660" spans="45:49">
      <c r="AS660" s="40" t="s">
        <v>780</v>
      </c>
      <c r="AT660" s="41" t="s">
        <v>827</v>
      </c>
      <c r="AU660" s="38"/>
      <c r="AV660" s="38"/>
      <c r="AW660" s="38"/>
    </row>
    <row r="661" spans="45:49">
      <c r="AS661" s="40" t="s">
        <v>780</v>
      </c>
      <c r="AT661" s="41" t="s">
        <v>828</v>
      </c>
      <c r="AU661" s="38"/>
      <c r="AV661" s="38"/>
      <c r="AW661" s="38"/>
    </row>
    <row r="662" spans="45:49">
      <c r="AS662" s="40" t="s">
        <v>780</v>
      </c>
      <c r="AT662" s="41" t="s">
        <v>829</v>
      </c>
      <c r="AU662" s="38"/>
      <c r="AV662" s="38"/>
      <c r="AW662" s="38"/>
    </row>
    <row r="663" spans="45:49">
      <c r="AS663" s="40" t="s">
        <v>780</v>
      </c>
      <c r="AT663" s="41" t="s">
        <v>830</v>
      </c>
      <c r="AU663" s="38"/>
      <c r="AV663" s="38"/>
      <c r="AW663" s="38"/>
    </row>
    <row r="664" spans="45:49">
      <c r="AS664" s="40" t="s">
        <v>780</v>
      </c>
      <c r="AT664" s="41" t="s">
        <v>831</v>
      </c>
      <c r="AU664" s="38"/>
      <c r="AV664" s="38"/>
      <c r="AW664" s="38"/>
    </row>
    <row r="665" spans="45:49">
      <c r="AS665" s="40" t="s">
        <v>780</v>
      </c>
      <c r="AT665" s="41" t="s">
        <v>832</v>
      </c>
      <c r="AU665" s="38"/>
      <c r="AV665" s="38"/>
      <c r="AW665" s="38"/>
    </row>
    <row r="666" spans="45:49">
      <c r="AS666" s="40" t="s">
        <v>780</v>
      </c>
      <c r="AT666" s="41" t="s">
        <v>833</v>
      </c>
      <c r="AU666" s="38"/>
      <c r="AV666" s="38"/>
      <c r="AW666" s="38"/>
    </row>
    <row r="667" spans="45:49">
      <c r="AS667" s="40" t="s">
        <v>780</v>
      </c>
      <c r="AT667" s="41" t="s">
        <v>834</v>
      </c>
      <c r="AU667" s="38"/>
      <c r="AV667" s="38"/>
      <c r="AW667" s="38"/>
    </row>
    <row r="668" spans="45:49">
      <c r="AS668" s="40" t="s">
        <v>780</v>
      </c>
      <c r="AT668" s="41" t="s">
        <v>835</v>
      </c>
      <c r="AU668" s="38"/>
      <c r="AV668" s="38"/>
      <c r="AW668" s="38"/>
    </row>
    <row r="669" spans="45:49">
      <c r="AS669" s="40" t="s">
        <v>780</v>
      </c>
      <c r="AT669" s="41" t="s">
        <v>836</v>
      </c>
      <c r="AU669" s="38"/>
      <c r="AV669" s="38"/>
      <c r="AW669" s="38"/>
    </row>
    <row r="670" spans="45:49">
      <c r="AS670" s="40" t="s">
        <v>780</v>
      </c>
      <c r="AT670" s="41" t="s">
        <v>837</v>
      </c>
      <c r="AU670" s="38"/>
      <c r="AV670" s="38"/>
      <c r="AW670" s="38"/>
    </row>
    <row r="671" spans="45:49">
      <c r="AS671" s="40" t="s">
        <v>780</v>
      </c>
      <c r="AT671" s="41" t="s">
        <v>698</v>
      </c>
      <c r="AU671" s="38"/>
      <c r="AV671" s="38"/>
      <c r="AW671" s="38"/>
    </row>
    <row r="672" spans="45:49">
      <c r="AS672" s="40" t="s">
        <v>780</v>
      </c>
      <c r="AT672" s="41" t="s">
        <v>838</v>
      </c>
      <c r="AU672" s="38"/>
      <c r="AV672" s="38"/>
      <c r="AW672" s="38"/>
    </row>
    <row r="673" spans="45:49">
      <c r="AS673" s="40" t="s">
        <v>780</v>
      </c>
      <c r="AT673" s="41" t="s">
        <v>839</v>
      </c>
      <c r="AU673" s="38"/>
      <c r="AV673" s="38"/>
      <c r="AW673" s="38"/>
    </row>
    <row r="674" spans="45:49">
      <c r="AS674" s="40" t="s">
        <v>780</v>
      </c>
      <c r="AT674" s="41" t="s">
        <v>840</v>
      </c>
      <c r="AU674" s="38"/>
      <c r="AV674" s="38"/>
      <c r="AW674" s="38"/>
    </row>
    <row r="675" spans="45:49">
      <c r="AS675" s="40" t="s">
        <v>780</v>
      </c>
      <c r="AT675" s="41" t="s">
        <v>841</v>
      </c>
      <c r="AU675" s="38"/>
      <c r="AV675" s="38"/>
      <c r="AW675" s="38"/>
    </row>
    <row r="676" spans="45:49">
      <c r="AS676" s="40" t="s">
        <v>780</v>
      </c>
      <c r="AT676" s="41" t="s">
        <v>842</v>
      </c>
      <c r="AU676" s="38"/>
      <c r="AV676" s="38"/>
      <c r="AW676" s="38"/>
    </row>
    <row r="677" spans="45:49">
      <c r="AS677" s="40" t="s">
        <v>780</v>
      </c>
      <c r="AT677" s="41" t="s">
        <v>843</v>
      </c>
      <c r="AU677" s="38"/>
      <c r="AV677" s="38"/>
      <c r="AW677" s="38"/>
    </row>
    <row r="678" spans="45:49">
      <c r="AS678" s="40" t="s">
        <v>780</v>
      </c>
      <c r="AT678" s="41" t="s">
        <v>844</v>
      </c>
      <c r="AU678" s="38"/>
      <c r="AV678" s="38"/>
      <c r="AW678" s="38"/>
    </row>
    <row r="679" spans="45:49">
      <c r="AS679" s="40" t="s">
        <v>780</v>
      </c>
      <c r="AT679" s="41" t="s">
        <v>845</v>
      </c>
      <c r="AU679" s="38"/>
      <c r="AV679" s="38"/>
      <c r="AW679" s="38"/>
    </row>
    <row r="680" spans="45:49">
      <c r="AS680" s="40" t="s">
        <v>780</v>
      </c>
      <c r="AT680" s="41" t="s">
        <v>846</v>
      </c>
      <c r="AU680" s="38"/>
      <c r="AV680" s="38"/>
      <c r="AW680" s="38"/>
    </row>
    <row r="681" spans="45:49">
      <c r="AS681" s="40" t="s">
        <v>780</v>
      </c>
      <c r="AT681" s="41" t="s">
        <v>847</v>
      </c>
      <c r="AU681" s="38"/>
      <c r="AV681" s="38"/>
      <c r="AW681" s="38"/>
    </row>
    <row r="682" spans="45:49">
      <c r="AS682" s="40" t="s">
        <v>780</v>
      </c>
      <c r="AT682" s="41" t="s">
        <v>848</v>
      </c>
      <c r="AU682" s="38"/>
      <c r="AV682" s="38"/>
      <c r="AW682" s="38"/>
    </row>
    <row r="683" spans="45:49">
      <c r="AS683" s="40" t="s">
        <v>780</v>
      </c>
      <c r="AT683" s="41" t="s">
        <v>849</v>
      </c>
      <c r="AU683" s="38"/>
      <c r="AV683" s="38"/>
      <c r="AW683" s="38"/>
    </row>
    <row r="684" spans="45:49">
      <c r="AS684" s="40" t="s">
        <v>780</v>
      </c>
      <c r="AT684" s="41" t="s">
        <v>850</v>
      </c>
      <c r="AU684" s="38"/>
      <c r="AV684" s="38"/>
      <c r="AW684" s="38"/>
    </row>
    <row r="685" spans="45:49">
      <c r="AS685" s="40" t="s">
        <v>780</v>
      </c>
      <c r="AT685" s="41" t="s">
        <v>851</v>
      </c>
      <c r="AU685" s="38"/>
      <c r="AV685" s="38"/>
      <c r="AW685" s="38"/>
    </row>
    <row r="686" spans="45:49">
      <c r="AS686" s="40" t="s">
        <v>780</v>
      </c>
      <c r="AT686" s="41" t="s">
        <v>852</v>
      </c>
      <c r="AU686" s="38"/>
      <c r="AV686" s="38"/>
      <c r="AW686" s="38"/>
    </row>
    <row r="687" spans="45:49">
      <c r="AS687" s="40" t="s">
        <v>853</v>
      </c>
      <c r="AT687" s="41" t="s">
        <v>854</v>
      </c>
      <c r="AU687" s="38"/>
      <c r="AV687" s="38"/>
      <c r="AW687" s="38"/>
    </row>
    <row r="688" spans="45:49">
      <c r="AS688" s="40" t="s">
        <v>853</v>
      </c>
      <c r="AT688" s="41" t="s">
        <v>855</v>
      </c>
      <c r="AU688" s="38"/>
      <c r="AV688" s="38"/>
      <c r="AW688" s="38"/>
    </row>
    <row r="689" spans="45:49">
      <c r="AS689" s="40" t="s">
        <v>853</v>
      </c>
      <c r="AT689" s="41" t="s">
        <v>856</v>
      </c>
      <c r="AU689" s="38"/>
      <c r="AV689" s="38"/>
      <c r="AW689" s="38"/>
    </row>
    <row r="690" spans="45:49">
      <c r="AS690" s="40" t="s">
        <v>853</v>
      </c>
      <c r="AT690" s="41" t="s">
        <v>857</v>
      </c>
      <c r="AU690" s="38"/>
      <c r="AV690" s="38"/>
      <c r="AW690" s="38"/>
    </row>
    <row r="691" spans="45:49">
      <c r="AS691" s="40" t="s">
        <v>853</v>
      </c>
      <c r="AT691" s="41" t="s">
        <v>858</v>
      </c>
      <c r="AU691" s="38"/>
      <c r="AV691" s="38"/>
      <c r="AW691" s="38"/>
    </row>
    <row r="692" spans="45:49">
      <c r="AS692" s="40" t="s">
        <v>853</v>
      </c>
      <c r="AT692" s="41" t="s">
        <v>859</v>
      </c>
      <c r="AU692" s="38"/>
      <c r="AV692" s="38"/>
      <c r="AW692" s="38"/>
    </row>
    <row r="693" spans="45:49">
      <c r="AS693" s="40" t="s">
        <v>853</v>
      </c>
      <c r="AT693" s="41" t="s">
        <v>860</v>
      </c>
      <c r="AU693" s="38"/>
      <c r="AV693" s="38"/>
      <c r="AW693" s="38"/>
    </row>
    <row r="694" spans="45:49">
      <c r="AS694" s="40" t="s">
        <v>853</v>
      </c>
      <c r="AT694" s="41" t="s">
        <v>861</v>
      </c>
      <c r="AU694" s="38"/>
      <c r="AV694" s="38"/>
      <c r="AW694" s="38"/>
    </row>
    <row r="695" spans="45:49">
      <c r="AS695" s="40" t="s">
        <v>853</v>
      </c>
      <c r="AT695" s="41" t="s">
        <v>862</v>
      </c>
      <c r="AU695" s="38"/>
      <c r="AV695" s="38"/>
      <c r="AW695" s="38"/>
    </row>
    <row r="696" spans="45:49">
      <c r="AS696" s="40" t="s">
        <v>853</v>
      </c>
      <c r="AT696" s="41" t="s">
        <v>863</v>
      </c>
      <c r="AU696" s="38"/>
      <c r="AV696" s="38"/>
      <c r="AW696" s="38"/>
    </row>
    <row r="697" spans="45:49">
      <c r="AS697" s="40" t="s">
        <v>853</v>
      </c>
      <c r="AT697" s="41" t="s">
        <v>864</v>
      </c>
      <c r="AU697" s="38"/>
      <c r="AV697" s="38"/>
      <c r="AW697" s="38"/>
    </row>
    <row r="698" spans="45:49">
      <c r="AS698" s="40" t="s">
        <v>853</v>
      </c>
      <c r="AT698" s="41" t="s">
        <v>865</v>
      </c>
      <c r="AU698" s="38"/>
      <c r="AV698" s="38"/>
      <c r="AW698" s="38"/>
    </row>
    <row r="699" spans="45:49">
      <c r="AS699" s="40" t="s">
        <v>853</v>
      </c>
      <c r="AT699" s="41" t="s">
        <v>866</v>
      </c>
      <c r="AU699" s="38"/>
      <c r="AV699" s="38"/>
      <c r="AW699" s="38"/>
    </row>
    <row r="700" spans="45:49">
      <c r="AS700" s="59" t="s">
        <v>867</v>
      </c>
      <c r="AT700" s="60" t="s">
        <v>868</v>
      </c>
      <c r="AU700" s="38"/>
      <c r="AV700" s="38"/>
      <c r="AW700" s="38"/>
    </row>
    <row r="701" spans="45:49">
      <c r="AS701" s="59" t="s">
        <v>867</v>
      </c>
      <c r="AT701" s="41" t="s">
        <v>869</v>
      </c>
      <c r="AU701" s="38"/>
      <c r="AV701" s="38"/>
      <c r="AW701" s="38"/>
    </row>
    <row r="702" spans="45:49">
      <c r="AS702" s="59" t="s">
        <v>867</v>
      </c>
      <c r="AT702" s="41" t="s">
        <v>870</v>
      </c>
      <c r="AU702" s="38"/>
      <c r="AV702" s="38"/>
      <c r="AW702" s="38"/>
    </row>
    <row r="703" spans="45:49">
      <c r="AS703" s="59" t="s">
        <v>867</v>
      </c>
      <c r="AT703" s="41" t="s">
        <v>871</v>
      </c>
      <c r="AU703" s="38"/>
      <c r="AV703" s="38"/>
      <c r="AW703" s="38"/>
    </row>
    <row r="704" spans="45:49">
      <c r="AS704" s="59" t="s">
        <v>867</v>
      </c>
      <c r="AT704" s="41" t="s">
        <v>872</v>
      </c>
      <c r="AU704" s="38"/>
      <c r="AV704" s="38"/>
      <c r="AW704" s="38"/>
    </row>
    <row r="705" spans="45:49">
      <c r="AS705" s="59" t="s">
        <v>867</v>
      </c>
      <c r="AT705" s="41" t="s">
        <v>873</v>
      </c>
      <c r="AU705" s="38"/>
      <c r="AV705" s="38"/>
      <c r="AW705" s="38"/>
    </row>
    <row r="706" spans="45:49">
      <c r="AS706" s="59" t="s">
        <v>867</v>
      </c>
      <c r="AT706" s="41" t="s">
        <v>874</v>
      </c>
      <c r="AU706" s="38"/>
      <c r="AV706" s="38"/>
      <c r="AW706" s="38"/>
    </row>
    <row r="707" spans="45:49">
      <c r="AS707" s="59" t="s">
        <v>867</v>
      </c>
      <c r="AT707" s="41" t="s">
        <v>875</v>
      </c>
      <c r="AU707" s="38"/>
      <c r="AV707" s="38"/>
      <c r="AW707" s="38"/>
    </row>
    <row r="708" spans="45:49">
      <c r="AS708" s="59" t="s">
        <v>867</v>
      </c>
      <c r="AT708" s="41" t="s">
        <v>876</v>
      </c>
      <c r="AU708" s="38"/>
      <c r="AV708" s="38"/>
      <c r="AW708" s="38"/>
    </row>
    <row r="709" spans="45:49">
      <c r="AS709" s="59" t="s">
        <v>867</v>
      </c>
      <c r="AT709" s="41" t="s">
        <v>877</v>
      </c>
      <c r="AU709" s="38"/>
      <c r="AV709" s="38"/>
      <c r="AW709" s="38"/>
    </row>
    <row r="710" spans="45:49">
      <c r="AS710" s="59" t="s">
        <v>867</v>
      </c>
      <c r="AT710" s="41" t="s">
        <v>878</v>
      </c>
      <c r="AU710" s="38"/>
      <c r="AV710" s="38"/>
      <c r="AW710" s="38"/>
    </row>
    <row r="711" spans="45:49">
      <c r="AS711" s="59" t="s">
        <v>867</v>
      </c>
      <c r="AT711" s="41" t="s">
        <v>879</v>
      </c>
      <c r="AU711" s="38"/>
      <c r="AV711" s="38"/>
      <c r="AW711" s="38"/>
    </row>
    <row r="712" spans="45:49">
      <c r="AS712" s="59" t="s">
        <v>867</v>
      </c>
      <c r="AT712" s="41" t="s">
        <v>880</v>
      </c>
      <c r="AU712" s="38"/>
      <c r="AV712" s="38"/>
      <c r="AW712" s="38"/>
    </row>
    <row r="713" spans="45:49">
      <c r="AS713" s="59" t="s">
        <v>867</v>
      </c>
      <c r="AT713" s="41" t="s">
        <v>881</v>
      </c>
      <c r="AU713" s="38"/>
      <c r="AV713" s="38"/>
      <c r="AW713" s="38"/>
    </row>
    <row r="714" spans="45:49">
      <c r="AS714" s="59" t="s">
        <v>867</v>
      </c>
      <c r="AT714" s="41" t="s">
        <v>882</v>
      </c>
      <c r="AU714" s="38"/>
      <c r="AV714" s="38"/>
      <c r="AW714" s="38"/>
    </row>
    <row r="715" spans="45:49">
      <c r="AS715" s="59" t="s">
        <v>867</v>
      </c>
      <c r="AT715" s="41" t="s">
        <v>883</v>
      </c>
      <c r="AU715" s="38"/>
      <c r="AV715" s="38"/>
      <c r="AW715" s="38"/>
    </row>
    <row r="716" spans="45:49">
      <c r="AS716" s="59" t="s">
        <v>867</v>
      </c>
      <c r="AT716" s="41" t="s">
        <v>884</v>
      </c>
      <c r="AU716" s="38"/>
      <c r="AV716" s="38"/>
      <c r="AW716" s="38"/>
    </row>
    <row r="717" spans="45:49">
      <c r="AS717" s="59" t="s">
        <v>867</v>
      </c>
      <c r="AT717" s="41" t="s">
        <v>885</v>
      </c>
      <c r="AU717" s="38"/>
      <c r="AV717" s="38"/>
      <c r="AW717" s="38"/>
    </row>
    <row r="718" spans="45:49">
      <c r="AS718" s="59" t="s">
        <v>867</v>
      </c>
      <c r="AT718" s="41" t="s">
        <v>886</v>
      </c>
      <c r="AU718" s="38"/>
      <c r="AV718" s="38"/>
      <c r="AW718" s="38"/>
    </row>
    <row r="719" spans="45:49">
      <c r="AS719" s="59" t="s">
        <v>867</v>
      </c>
      <c r="AT719" s="41" t="s">
        <v>887</v>
      </c>
      <c r="AU719" s="38"/>
      <c r="AV719" s="38"/>
      <c r="AW719" s="38"/>
    </row>
    <row r="720" spans="45:49">
      <c r="AS720" s="59" t="s">
        <v>867</v>
      </c>
      <c r="AT720" s="41" t="s">
        <v>888</v>
      </c>
      <c r="AU720" s="38"/>
      <c r="AV720" s="38"/>
      <c r="AW720" s="38"/>
    </row>
  </sheetData>
  <sheetProtection insertColumns="0" insertRows="0" deleteColumns="0" deleteRows="0"/>
  <dataConsolidate/>
  <mergeCells count="44">
    <mergeCell ref="B1:H1"/>
    <mergeCell ref="B2:H2"/>
    <mergeCell ref="B3:H3"/>
    <mergeCell ref="B4:H4"/>
    <mergeCell ref="B12:E12"/>
    <mergeCell ref="F9:H9"/>
    <mergeCell ref="B9:E10"/>
    <mergeCell ref="G5:H5"/>
    <mergeCell ref="G6:H6"/>
    <mergeCell ref="B11:E11"/>
    <mergeCell ref="C22:E22"/>
    <mergeCell ref="C23:E23"/>
    <mergeCell ref="B13:E13"/>
    <mergeCell ref="B38:C39"/>
    <mergeCell ref="B40:C41"/>
    <mergeCell ref="C17:E17"/>
    <mergeCell ref="C18:E18"/>
    <mergeCell ref="C19:E19"/>
    <mergeCell ref="C20:E20"/>
    <mergeCell ref="C21:E21"/>
    <mergeCell ref="C25:E25"/>
    <mergeCell ref="C26:E26"/>
    <mergeCell ref="C24:E24"/>
    <mergeCell ref="B15:E15"/>
    <mergeCell ref="B14:E14"/>
    <mergeCell ref="B16:E16"/>
    <mergeCell ref="B51:C51"/>
    <mergeCell ref="B49:C49"/>
    <mergeCell ref="B50:C50"/>
    <mergeCell ref="D49:E51"/>
    <mergeCell ref="F49:H51"/>
    <mergeCell ref="C27:E27"/>
    <mergeCell ref="C28:E28"/>
    <mergeCell ref="B48:C48"/>
    <mergeCell ref="D48:E48"/>
    <mergeCell ref="F48:H48"/>
    <mergeCell ref="B42:C43"/>
    <mergeCell ref="B44:C45"/>
    <mergeCell ref="B46:C47"/>
    <mergeCell ref="B29:D29"/>
    <mergeCell ref="B30:C31"/>
    <mergeCell ref="B32:C33"/>
    <mergeCell ref="B34:C35"/>
    <mergeCell ref="B36:C37"/>
  </mergeCells>
  <dataValidations count="2">
    <dataValidation type="list" allowBlank="1" showInputMessage="1" showErrorMessage="1" sqref="C5">
      <formula1>Statelist</formula1>
    </dataValidation>
    <dataValidation type="list" allowBlank="1" showInputMessage="1" showErrorMessage="1" sqref="E5">
      <formula1>DT</formula1>
    </dataValidation>
  </dataValidations>
  <printOptions horizontalCentered="1"/>
  <pageMargins left="0.3" right="0.24" top="0.28000000000000003" bottom="0.2" header="0.17" footer="0.17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J738"/>
  <sheetViews>
    <sheetView tabSelected="1" zoomScaleSheetLayoutView="55" workbookViewId="0">
      <selection activeCell="N6" sqref="N6:S6"/>
    </sheetView>
  </sheetViews>
  <sheetFormatPr defaultColWidth="9.140625" defaultRowHeight="15"/>
  <cols>
    <col min="1" max="1" width="27.42578125" style="39" customWidth="1"/>
    <col min="2" max="2" width="13.85546875" style="39" customWidth="1"/>
    <col min="3" max="3" width="15.140625" style="39" customWidth="1"/>
    <col min="4" max="4" width="16.7109375" style="39" customWidth="1"/>
    <col min="5" max="6" width="14.5703125" style="39" customWidth="1"/>
    <col min="7" max="7" width="18.28515625" style="39" customWidth="1"/>
    <col min="8" max="8" width="14.42578125" style="39" customWidth="1"/>
    <col min="9" max="9" width="13.140625" style="39" customWidth="1"/>
    <col min="10" max="10" width="18" style="39" customWidth="1"/>
    <col min="11" max="11" width="16.140625" style="39" customWidth="1"/>
    <col min="12" max="12" width="17" style="39" customWidth="1"/>
    <col min="13" max="13" width="14" style="39" customWidth="1"/>
    <col min="14" max="14" width="14.42578125" style="39" customWidth="1"/>
    <col min="15" max="15" width="13.140625" style="39" customWidth="1"/>
    <col min="16" max="16" width="15.42578125" style="39" customWidth="1"/>
    <col min="17" max="18" width="14" style="39" customWidth="1"/>
    <col min="19" max="19" width="12.42578125" style="39" customWidth="1"/>
    <col min="20" max="23" width="9.140625" style="38"/>
    <col min="24" max="24" width="12.42578125" style="38" customWidth="1"/>
    <col min="25" max="25" width="10.85546875" style="38" customWidth="1"/>
    <col min="26" max="41" width="9.140625" style="38"/>
    <col min="42" max="43" width="9.140625" style="39"/>
    <col min="44" max="44" width="19.28515625" style="39" hidden="1" customWidth="1"/>
    <col min="45" max="45" width="28.7109375" style="39" hidden="1" customWidth="1"/>
    <col min="46" max="46" width="24.85546875" style="39" hidden="1" customWidth="1"/>
    <col min="47" max="49" width="9.140625" style="39" hidden="1" customWidth="1"/>
    <col min="50" max="50" width="9.140625" style="39" customWidth="1"/>
    <col min="51" max="55" width="9.140625" style="38"/>
    <col min="56" max="61" width="9.140625" style="39"/>
    <col min="62" max="62" width="9.140625" style="39" customWidth="1"/>
    <col min="63" max="16384" width="9.140625" style="39"/>
  </cols>
  <sheetData>
    <row r="1" spans="1:55" ht="27" customHeight="1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2"/>
      <c r="AS1" s="38" t="s">
        <v>148</v>
      </c>
      <c r="AT1" s="38" t="s">
        <v>114</v>
      </c>
      <c r="AU1" s="38"/>
      <c r="AV1" s="38" t="s">
        <v>148</v>
      </c>
      <c r="AW1" s="38" t="s">
        <v>114</v>
      </c>
      <c r="AX1" s="38"/>
    </row>
    <row r="2" spans="1:55" ht="27" customHeight="1">
      <c r="A2" s="243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5"/>
      <c r="AR2" s="38" t="s">
        <v>889</v>
      </c>
      <c r="AS2" s="40" t="s">
        <v>149</v>
      </c>
      <c r="AT2" s="41" t="s">
        <v>150</v>
      </c>
      <c r="AU2" s="38"/>
      <c r="AV2" s="38"/>
      <c r="AW2" s="38" t="e">
        <f ca="1">SUM(OFFSET(AS1,MATCH($B5,$AS:$AS,0)-1,1,COUNTIF($AS:$AS,$B5),1))</f>
        <v>#N/A</v>
      </c>
      <c r="AX2" s="38"/>
    </row>
    <row r="3" spans="1:55" ht="27.75" customHeight="1">
      <c r="A3" s="246" t="s">
        <v>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8"/>
      <c r="AR3" s="38" t="s">
        <v>149</v>
      </c>
      <c r="AS3" s="40" t="s">
        <v>149</v>
      </c>
      <c r="AT3" s="41" t="s">
        <v>151</v>
      </c>
      <c r="AU3" s="38"/>
      <c r="AV3" s="38"/>
      <c r="AW3" s="38"/>
      <c r="AX3" s="38"/>
    </row>
    <row r="4" spans="1:55" ht="29.25" customHeight="1">
      <c r="A4" s="249" t="s">
        <v>86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1"/>
      <c r="R4" s="251"/>
      <c r="S4" s="252"/>
      <c r="AR4" s="38" t="s">
        <v>153</v>
      </c>
      <c r="AS4" s="40" t="s">
        <v>149</v>
      </c>
      <c r="AT4" s="41" t="s">
        <v>152</v>
      </c>
      <c r="AU4" s="38"/>
      <c r="AV4" s="38"/>
      <c r="AW4" s="38"/>
      <c r="AX4" s="38"/>
    </row>
    <row r="5" spans="1:55" ht="39.75" customHeight="1">
      <c r="A5" s="110" t="s">
        <v>101</v>
      </c>
      <c r="B5" s="253" t="s">
        <v>889</v>
      </c>
      <c r="C5" s="253"/>
      <c r="D5" s="111" t="s">
        <v>114</v>
      </c>
      <c r="E5" s="254" t="s">
        <v>1161</v>
      </c>
      <c r="F5" s="254"/>
      <c r="G5" s="112" t="s">
        <v>81</v>
      </c>
      <c r="H5" s="255" t="s">
        <v>1160</v>
      </c>
      <c r="I5" s="255"/>
      <c r="J5" s="113" t="s">
        <v>144</v>
      </c>
      <c r="K5" s="256">
        <v>1</v>
      </c>
      <c r="L5" s="257"/>
      <c r="M5" s="258" t="s">
        <v>3</v>
      </c>
      <c r="N5" s="258"/>
      <c r="O5" s="259">
        <v>46204</v>
      </c>
      <c r="P5" s="260"/>
      <c r="Q5" s="114" t="s">
        <v>82</v>
      </c>
      <c r="R5" s="261">
        <v>2026</v>
      </c>
      <c r="S5" s="262"/>
      <c r="AR5" s="38" t="s">
        <v>167</v>
      </c>
      <c r="AS5" s="42" t="s">
        <v>153</v>
      </c>
      <c r="AT5" s="43" t="s">
        <v>154</v>
      </c>
      <c r="AU5" s="38"/>
      <c r="AV5" s="38"/>
      <c r="AW5" s="38"/>
      <c r="AX5" s="38"/>
    </row>
    <row r="6" spans="1:55" s="37" customFormat="1" ht="31.5" customHeight="1">
      <c r="A6" s="263"/>
      <c r="B6" s="264" t="s">
        <v>90</v>
      </c>
      <c r="C6" s="264"/>
      <c r="D6" s="264"/>
      <c r="E6" s="264"/>
      <c r="F6" s="264"/>
      <c r="G6" s="264"/>
      <c r="H6" s="265" t="s">
        <v>91</v>
      </c>
      <c r="I6" s="265"/>
      <c r="J6" s="265"/>
      <c r="K6" s="265"/>
      <c r="L6" s="265"/>
      <c r="M6" s="265"/>
      <c r="N6" s="266" t="s">
        <v>4</v>
      </c>
      <c r="O6" s="266"/>
      <c r="P6" s="266"/>
      <c r="Q6" s="267"/>
      <c r="R6" s="267"/>
      <c r="S6" s="26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R6" s="38" t="s">
        <v>189</v>
      </c>
      <c r="AS6" s="42" t="s">
        <v>153</v>
      </c>
      <c r="AT6" s="43" t="s">
        <v>155</v>
      </c>
      <c r="AU6" s="38"/>
      <c r="AV6" s="38"/>
      <c r="AW6" s="38"/>
      <c r="AX6" s="38"/>
      <c r="AY6" s="38"/>
      <c r="AZ6" s="38"/>
      <c r="BA6" s="38"/>
      <c r="BB6" s="38"/>
      <c r="BC6" s="38"/>
    </row>
    <row r="7" spans="1:55" s="44" customFormat="1" ht="22.5" customHeight="1">
      <c r="A7" s="263"/>
      <c r="B7" s="269" t="s">
        <v>83</v>
      </c>
      <c r="C7" s="269" t="s">
        <v>5</v>
      </c>
      <c r="D7" s="269" t="s">
        <v>6</v>
      </c>
      <c r="E7" s="269" t="s">
        <v>7</v>
      </c>
      <c r="F7" s="269" t="s">
        <v>8</v>
      </c>
      <c r="G7" s="269" t="s">
        <v>9</v>
      </c>
      <c r="H7" s="271" t="s">
        <v>10</v>
      </c>
      <c r="I7" s="271" t="s">
        <v>11</v>
      </c>
      <c r="J7" s="271" t="s">
        <v>12</v>
      </c>
      <c r="K7" s="271" t="s">
        <v>7</v>
      </c>
      <c r="L7" s="271" t="s">
        <v>13</v>
      </c>
      <c r="M7" s="271" t="s">
        <v>9</v>
      </c>
      <c r="N7" s="270" t="s">
        <v>10</v>
      </c>
      <c r="O7" s="270" t="s">
        <v>11</v>
      </c>
      <c r="P7" s="270" t="s">
        <v>12</v>
      </c>
      <c r="Q7" s="272" t="s">
        <v>7</v>
      </c>
      <c r="R7" s="270" t="s">
        <v>13</v>
      </c>
      <c r="S7" s="270" t="s">
        <v>9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R7" s="38" t="s">
        <v>223</v>
      </c>
      <c r="AS7" s="42" t="s">
        <v>153</v>
      </c>
      <c r="AT7" s="43" t="s">
        <v>156</v>
      </c>
      <c r="AU7" s="38"/>
      <c r="AV7" s="38"/>
      <c r="AW7" s="38"/>
      <c r="AX7" s="38"/>
      <c r="AY7" s="38"/>
      <c r="AZ7" s="38"/>
      <c r="BA7" s="38"/>
      <c r="BB7" s="38"/>
      <c r="BC7" s="38"/>
    </row>
    <row r="8" spans="1:55" s="44" customFormat="1" ht="12.75" customHeight="1">
      <c r="A8" s="263"/>
      <c r="B8" s="269"/>
      <c r="C8" s="269"/>
      <c r="D8" s="269"/>
      <c r="E8" s="269"/>
      <c r="F8" s="269"/>
      <c r="G8" s="269"/>
      <c r="H8" s="271"/>
      <c r="I8" s="271"/>
      <c r="J8" s="271"/>
      <c r="K8" s="271"/>
      <c r="L8" s="271"/>
      <c r="M8" s="271"/>
      <c r="N8" s="270"/>
      <c r="O8" s="270"/>
      <c r="P8" s="270"/>
      <c r="Q8" s="272"/>
      <c r="R8" s="270"/>
      <c r="S8" s="27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R8" s="38" t="s">
        <v>262</v>
      </c>
      <c r="AS8" s="42" t="s">
        <v>153</v>
      </c>
      <c r="AT8" s="43" t="s">
        <v>157</v>
      </c>
      <c r="AU8" s="38"/>
      <c r="AV8" s="38"/>
      <c r="AW8" s="38"/>
      <c r="AX8" s="38"/>
      <c r="AY8" s="38"/>
      <c r="AZ8" s="38"/>
      <c r="BA8" s="38"/>
      <c r="BB8" s="38"/>
      <c r="BC8" s="38"/>
    </row>
    <row r="9" spans="1:55" s="44" customFormat="1" ht="75.75" customHeight="1">
      <c r="A9" s="263"/>
      <c r="B9" s="269"/>
      <c r="C9" s="269"/>
      <c r="D9" s="269"/>
      <c r="E9" s="269"/>
      <c r="F9" s="269"/>
      <c r="G9" s="269"/>
      <c r="H9" s="271"/>
      <c r="I9" s="271"/>
      <c r="J9" s="271"/>
      <c r="K9" s="271"/>
      <c r="L9" s="271"/>
      <c r="M9" s="271"/>
      <c r="N9" s="270"/>
      <c r="O9" s="270"/>
      <c r="P9" s="270"/>
      <c r="Q9" s="272"/>
      <c r="R9" s="270"/>
      <c r="S9" s="27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R9" s="38" t="s">
        <v>263</v>
      </c>
      <c r="AS9" s="42" t="s">
        <v>153</v>
      </c>
      <c r="AT9" s="43" t="s">
        <v>158</v>
      </c>
      <c r="AU9" s="38"/>
      <c r="AV9" s="38"/>
      <c r="AW9" s="38"/>
      <c r="AX9" s="38"/>
      <c r="AY9" s="38"/>
      <c r="AZ9" s="38"/>
      <c r="BA9" s="38"/>
      <c r="BB9" s="38"/>
      <c r="BC9" s="38"/>
    </row>
    <row r="10" spans="1:55" s="44" customFormat="1" ht="19.5" customHeight="1">
      <c r="A10" s="4" t="s">
        <v>15</v>
      </c>
      <c r="B10" s="1">
        <v>926</v>
      </c>
      <c r="C10" s="1">
        <v>316</v>
      </c>
      <c r="D10" s="1">
        <v>918</v>
      </c>
      <c r="E10" s="82">
        <f>D10/B10</f>
        <v>0.99136069114470837</v>
      </c>
      <c r="F10" s="1">
        <v>29</v>
      </c>
      <c r="G10" s="1">
        <v>15</v>
      </c>
      <c r="H10" s="1">
        <v>927</v>
      </c>
      <c r="I10" s="1">
        <v>316</v>
      </c>
      <c r="J10" s="1">
        <v>901</v>
      </c>
      <c r="K10" s="82">
        <f>J10/H10</f>
        <v>0.97195253505933121</v>
      </c>
      <c r="L10" s="1">
        <v>32</v>
      </c>
      <c r="M10" s="1">
        <v>18</v>
      </c>
      <c r="N10" s="1">
        <v>4561</v>
      </c>
      <c r="O10" s="1">
        <f>I23</f>
        <v>0</v>
      </c>
      <c r="P10" s="1">
        <v>870</v>
      </c>
      <c r="Q10" s="83">
        <f>P10/N10</f>
        <v>0.1907476430607323</v>
      </c>
      <c r="R10" s="10">
        <v>85</v>
      </c>
      <c r="S10" s="10">
        <v>161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R10" s="38" t="s">
        <v>291</v>
      </c>
      <c r="AS10" s="42" t="s">
        <v>153</v>
      </c>
      <c r="AT10" s="43" t="s">
        <v>159</v>
      </c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44" customFormat="1" ht="19.5" customHeight="1">
      <c r="A11" s="4" t="s">
        <v>16</v>
      </c>
      <c r="B11" s="1">
        <v>853</v>
      </c>
      <c r="C11" s="1">
        <v>310</v>
      </c>
      <c r="D11" s="1">
        <v>801</v>
      </c>
      <c r="E11" s="82">
        <f t="shared" ref="E11:E12" si="0">D11/B11</f>
        <v>0.93903868698710435</v>
      </c>
      <c r="F11" s="1">
        <v>32</v>
      </c>
      <c r="G11" s="1">
        <v>16</v>
      </c>
      <c r="H11" s="1">
        <v>850</v>
      </c>
      <c r="I11" s="1">
        <v>290</v>
      </c>
      <c r="J11" s="1">
        <v>803</v>
      </c>
      <c r="K11" s="82">
        <f t="shared" ref="K11:K12" si="1">J11/H11</f>
        <v>0.94470588235294117</v>
      </c>
      <c r="L11" s="1">
        <v>28</v>
      </c>
      <c r="M11" s="1">
        <v>18</v>
      </c>
      <c r="N11" s="1">
        <v>4023</v>
      </c>
      <c r="O11" s="1">
        <f>J23</f>
        <v>0</v>
      </c>
      <c r="P11" s="1">
        <v>877</v>
      </c>
      <c r="Q11" s="83">
        <f t="shared" ref="Q11:Q12" si="2">P11/N11</f>
        <v>0.21799652000994282</v>
      </c>
      <c r="R11" s="10">
        <v>90</v>
      </c>
      <c r="S11" s="10">
        <v>139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R11" s="38" t="s">
        <v>293</v>
      </c>
      <c r="AS11" s="42" t="s">
        <v>153</v>
      </c>
      <c r="AT11" s="43" t="s">
        <v>160</v>
      </c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s="44" customFormat="1" ht="19.5" customHeight="1">
      <c r="A12" s="4" t="s">
        <v>17</v>
      </c>
      <c r="B12" s="152">
        <f>SUM(B10:B11)</f>
        <v>1779</v>
      </c>
      <c r="C12" s="152">
        <f t="shared" ref="C12:P12" si="3">SUM(C10:C11)</f>
        <v>626</v>
      </c>
      <c r="D12" s="152">
        <f t="shared" si="3"/>
        <v>1719</v>
      </c>
      <c r="E12" s="153">
        <f t="shared" si="0"/>
        <v>0.96627318718381117</v>
      </c>
      <c r="F12" s="152">
        <f t="shared" si="3"/>
        <v>61</v>
      </c>
      <c r="G12" s="152">
        <f t="shared" si="3"/>
        <v>31</v>
      </c>
      <c r="H12" s="152">
        <f t="shared" si="3"/>
        <v>1777</v>
      </c>
      <c r="I12" s="152">
        <f t="shared" si="3"/>
        <v>606</v>
      </c>
      <c r="J12" s="152">
        <f t="shared" si="3"/>
        <v>1704</v>
      </c>
      <c r="K12" s="153">
        <f t="shared" si="1"/>
        <v>0.95891952729319074</v>
      </c>
      <c r="L12" s="152">
        <f t="shared" si="3"/>
        <v>60</v>
      </c>
      <c r="M12" s="152">
        <f t="shared" si="3"/>
        <v>36</v>
      </c>
      <c r="N12" s="152">
        <f t="shared" si="3"/>
        <v>8584</v>
      </c>
      <c r="O12" s="152">
        <f t="shared" si="3"/>
        <v>0</v>
      </c>
      <c r="P12" s="152">
        <f t="shared" si="3"/>
        <v>1747</v>
      </c>
      <c r="Q12" s="154">
        <f t="shared" si="2"/>
        <v>0.20351817334575956</v>
      </c>
      <c r="R12" s="152">
        <f>SUM(R10:R11)</f>
        <v>175</v>
      </c>
      <c r="S12" s="152">
        <f>SUM(S10:S11)</f>
        <v>300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R12" s="38" t="s">
        <v>296</v>
      </c>
      <c r="AS12" s="42" t="s">
        <v>153</v>
      </c>
      <c r="AT12" s="43" t="s">
        <v>161</v>
      </c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s="45" customFormat="1" ht="20.25">
      <c r="A13" s="273" t="s">
        <v>111</v>
      </c>
      <c r="B13" s="274"/>
      <c r="C13" s="274"/>
      <c r="D13" s="274"/>
      <c r="E13" s="274"/>
      <c r="F13" s="274"/>
      <c r="G13" s="275" t="s">
        <v>132</v>
      </c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7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R13" s="38" t="s">
        <v>308</v>
      </c>
      <c r="AS13" s="42" t="s">
        <v>153</v>
      </c>
      <c r="AT13" s="43" t="s">
        <v>162</v>
      </c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s="45" customFormat="1" ht="15" customHeight="1">
      <c r="A14" s="278"/>
      <c r="B14" s="279"/>
      <c r="C14" s="279"/>
      <c r="D14" s="279"/>
      <c r="E14" s="279"/>
      <c r="F14" s="279"/>
      <c r="G14" s="280" t="s">
        <v>103</v>
      </c>
      <c r="H14" s="281" t="s">
        <v>104</v>
      </c>
      <c r="I14" s="282" t="s">
        <v>18</v>
      </c>
      <c r="J14" s="282"/>
      <c r="K14" s="283" t="s">
        <v>19</v>
      </c>
      <c r="L14" s="283"/>
      <c r="M14" s="283" t="s">
        <v>20</v>
      </c>
      <c r="N14" s="283"/>
      <c r="O14" s="284" t="s">
        <v>92</v>
      </c>
      <c r="P14" s="284"/>
      <c r="Q14" s="284"/>
      <c r="R14" s="168"/>
      <c r="S14" s="303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R14" s="38" t="s">
        <v>311</v>
      </c>
      <c r="AS14" s="42" t="s">
        <v>153</v>
      </c>
      <c r="AT14" s="43" t="s">
        <v>163</v>
      </c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s="45" customFormat="1" ht="97.5" customHeight="1">
      <c r="A15" s="306"/>
      <c r="B15" s="307"/>
      <c r="C15" s="115" t="s">
        <v>107</v>
      </c>
      <c r="D15" s="115" t="s">
        <v>108</v>
      </c>
      <c r="E15" s="115" t="s">
        <v>109</v>
      </c>
      <c r="F15" s="115" t="s">
        <v>110</v>
      </c>
      <c r="G15" s="280"/>
      <c r="H15" s="281"/>
      <c r="I15" s="166" t="s">
        <v>15</v>
      </c>
      <c r="J15" s="166" t="s">
        <v>16</v>
      </c>
      <c r="K15" s="166" t="s">
        <v>15</v>
      </c>
      <c r="L15" s="166" t="s">
        <v>16</v>
      </c>
      <c r="M15" s="166" t="s">
        <v>15</v>
      </c>
      <c r="N15" s="166" t="s">
        <v>16</v>
      </c>
      <c r="O15" s="167" t="s">
        <v>18</v>
      </c>
      <c r="P15" s="167" t="s">
        <v>19</v>
      </c>
      <c r="Q15" s="167" t="s">
        <v>93</v>
      </c>
      <c r="R15" s="169"/>
      <c r="S15" s="30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R15" s="38" t="s">
        <v>345</v>
      </c>
      <c r="AS15" s="42" t="s">
        <v>153</v>
      </c>
      <c r="AT15" s="46" t="s">
        <v>164</v>
      </c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s="45" customFormat="1" ht="15" customHeight="1">
      <c r="A16" s="308" t="s">
        <v>113</v>
      </c>
      <c r="B16" s="166" t="s">
        <v>22</v>
      </c>
      <c r="C16" s="23"/>
      <c r="D16" s="23"/>
      <c r="E16" s="23"/>
      <c r="F16" s="23"/>
      <c r="G16" s="165" t="s">
        <v>21</v>
      </c>
      <c r="H16" s="24"/>
      <c r="I16" s="24"/>
      <c r="J16" s="24"/>
      <c r="K16" s="2"/>
      <c r="L16" s="2"/>
      <c r="M16" s="2"/>
      <c r="N16" s="2"/>
      <c r="O16" s="155">
        <f>SUM(I16:J16)</f>
        <v>0</v>
      </c>
      <c r="P16" s="155">
        <f>SUM(K16:L16)</f>
        <v>0</v>
      </c>
      <c r="Q16" s="155">
        <f>SUM(M16:N16)</f>
        <v>0</v>
      </c>
      <c r="R16" s="84"/>
      <c r="S16" s="304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R16" s="38" t="s">
        <v>368</v>
      </c>
      <c r="AS16" s="42" t="s">
        <v>153</v>
      </c>
      <c r="AT16" s="43" t="s">
        <v>165</v>
      </c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374" s="45" customFormat="1" ht="15" customHeight="1">
      <c r="A17" s="308"/>
      <c r="B17" s="166" t="s">
        <v>24</v>
      </c>
      <c r="C17" s="23"/>
      <c r="D17" s="23"/>
      <c r="E17" s="23"/>
      <c r="F17" s="23"/>
      <c r="G17" s="170" t="s">
        <v>23</v>
      </c>
      <c r="H17" s="25"/>
      <c r="I17" s="25"/>
      <c r="J17" s="23"/>
      <c r="K17" s="23"/>
      <c r="L17" s="2"/>
      <c r="M17" s="2"/>
      <c r="N17" s="2"/>
      <c r="O17" s="155">
        <f t="shared" ref="O17:O19" si="4">SUM(I17:J17)</f>
        <v>0</v>
      </c>
      <c r="P17" s="155">
        <f t="shared" ref="P17:P19" si="5">SUM(K17:L17)</f>
        <v>0</v>
      </c>
      <c r="Q17" s="155">
        <f t="shared" ref="Q17:Q19" si="6">SUM(M17:N17)</f>
        <v>0</v>
      </c>
      <c r="R17" s="84"/>
      <c r="S17" s="304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R17" s="38" t="s">
        <v>381</v>
      </c>
      <c r="AS17" s="42" t="s">
        <v>153</v>
      </c>
      <c r="AT17" s="43" t="s">
        <v>166</v>
      </c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374" s="45" customFormat="1">
      <c r="A18" s="309" t="s">
        <v>26</v>
      </c>
      <c r="B18" s="310"/>
      <c r="C18" s="23"/>
      <c r="D18" s="23"/>
      <c r="E18" s="23"/>
      <c r="F18" s="23"/>
      <c r="G18" s="8" t="s">
        <v>25</v>
      </c>
      <c r="H18" s="26"/>
      <c r="I18" s="26"/>
      <c r="J18" s="26"/>
      <c r="K18" s="9"/>
      <c r="L18" s="9"/>
      <c r="M18" s="9"/>
      <c r="N18" s="9"/>
      <c r="O18" s="155">
        <f t="shared" si="4"/>
        <v>0</v>
      </c>
      <c r="P18" s="155">
        <f t="shared" si="5"/>
        <v>0</v>
      </c>
      <c r="Q18" s="155">
        <f t="shared" si="6"/>
        <v>0</v>
      </c>
      <c r="R18" s="84"/>
      <c r="S18" s="304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R18" s="38" t="s">
        <v>404</v>
      </c>
      <c r="AS18" s="40" t="s">
        <v>167</v>
      </c>
      <c r="AT18" s="41" t="s">
        <v>168</v>
      </c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374" s="45" customFormat="1" ht="23.25" customHeight="1">
      <c r="A19" s="311"/>
      <c r="B19" s="312"/>
      <c r="C19" s="128"/>
      <c r="D19" s="128"/>
      <c r="E19" s="128"/>
      <c r="F19" s="128"/>
      <c r="G19" s="116" t="s">
        <v>133</v>
      </c>
      <c r="H19" s="26"/>
      <c r="I19" s="26"/>
      <c r="J19" s="26"/>
      <c r="K19" s="9"/>
      <c r="L19" s="9"/>
      <c r="M19" s="9"/>
      <c r="N19" s="9"/>
      <c r="O19" s="155">
        <f t="shared" si="4"/>
        <v>0</v>
      </c>
      <c r="P19" s="155">
        <f t="shared" si="5"/>
        <v>0</v>
      </c>
      <c r="Q19" s="155">
        <f t="shared" si="6"/>
        <v>0</v>
      </c>
      <c r="R19" s="85"/>
      <c r="S19" s="305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R19" s="38" t="s">
        <v>429</v>
      </c>
      <c r="AS19" s="40" t="s">
        <v>167</v>
      </c>
      <c r="AT19" s="41" t="s">
        <v>169</v>
      </c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374" s="45" customFormat="1" ht="22.5" customHeight="1">
      <c r="A20" s="313" t="s">
        <v>147</v>
      </c>
      <c r="B20" s="314"/>
      <c r="C20" s="319" t="s">
        <v>89</v>
      </c>
      <c r="D20" s="320"/>
      <c r="E20" s="321"/>
      <c r="F20" s="322" t="s">
        <v>105</v>
      </c>
      <c r="G20" s="322"/>
      <c r="H20" s="322"/>
      <c r="I20" s="323" t="s">
        <v>106</v>
      </c>
      <c r="J20" s="323"/>
      <c r="K20" s="323"/>
      <c r="L20" s="299" t="s">
        <v>115</v>
      </c>
      <c r="M20" s="299"/>
      <c r="N20" s="299"/>
      <c r="O20" s="285" t="s">
        <v>131</v>
      </c>
      <c r="P20" s="286"/>
      <c r="Q20" s="286"/>
      <c r="R20" s="286"/>
      <c r="S20" s="287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R20" s="38" t="s">
        <v>459</v>
      </c>
      <c r="AS20" s="40" t="s">
        <v>167</v>
      </c>
      <c r="AT20" s="41" t="s">
        <v>170</v>
      </c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374" s="45" customFormat="1" ht="31.5" customHeight="1">
      <c r="A21" s="315"/>
      <c r="B21" s="316"/>
      <c r="C21" s="294" t="s">
        <v>112</v>
      </c>
      <c r="D21" s="295"/>
      <c r="E21" s="296"/>
      <c r="F21" s="297" t="s">
        <v>112</v>
      </c>
      <c r="G21" s="297"/>
      <c r="H21" s="297"/>
      <c r="I21" s="298" t="s">
        <v>112</v>
      </c>
      <c r="J21" s="298"/>
      <c r="K21" s="298"/>
      <c r="L21" s="299" t="s">
        <v>112</v>
      </c>
      <c r="M21" s="299"/>
      <c r="N21" s="299"/>
      <c r="O21" s="288"/>
      <c r="P21" s="289"/>
      <c r="Q21" s="289"/>
      <c r="R21" s="289"/>
      <c r="S21" s="290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R21" s="38" t="s">
        <v>474</v>
      </c>
      <c r="AS21" s="40" t="s">
        <v>167</v>
      </c>
      <c r="AT21" s="41" t="s">
        <v>171</v>
      </c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374" s="45" customFormat="1" ht="36" customHeight="1">
      <c r="A22" s="315"/>
      <c r="B22" s="316"/>
      <c r="C22" s="117" t="s">
        <v>15</v>
      </c>
      <c r="D22" s="117" t="s">
        <v>16</v>
      </c>
      <c r="E22" s="117" t="s">
        <v>17</v>
      </c>
      <c r="F22" s="118" t="s">
        <v>15</v>
      </c>
      <c r="G22" s="118" t="s">
        <v>16</v>
      </c>
      <c r="H22" s="118" t="s">
        <v>17</v>
      </c>
      <c r="I22" s="119" t="s">
        <v>15</v>
      </c>
      <c r="J22" s="119" t="s">
        <v>16</v>
      </c>
      <c r="K22" s="119" t="s">
        <v>17</v>
      </c>
      <c r="L22" s="120" t="s">
        <v>15</v>
      </c>
      <c r="M22" s="120" t="s">
        <v>16</v>
      </c>
      <c r="N22" s="120" t="s">
        <v>17</v>
      </c>
      <c r="O22" s="291"/>
      <c r="P22" s="292"/>
      <c r="Q22" s="292"/>
      <c r="R22" s="292"/>
      <c r="S22" s="293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R22" s="38" t="s">
        <v>475</v>
      </c>
      <c r="AS22" s="40" t="s">
        <v>167</v>
      </c>
      <c r="AT22" s="41" t="s">
        <v>172</v>
      </c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374" s="45" customFormat="1" ht="29.25" customHeight="1">
      <c r="A23" s="317"/>
      <c r="B23" s="318"/>
      <c r="C23" s="27"/>
      <c r="D23" s="27"/>
      <c r="E23" s="138">
        <f>SUM(C23:D23)</f>
        <v>0</v>
      </c>
      <c r="F23" s="28"/>
      <c r="G23" s="28"/>
      <c r="H23" s="140">
        <f>SUM(F23:G23)</f>
        <v>0</v>
      </c>
      <c r="I23" s="29"/>
      <c r="J23" s="29"/>
      <c r="K23" s="143">
        <f>SUM(I23:J23)</f>
        <v>0</v>
      </c>
      <c r="L23" s="123">
        <f>SUM(C23,F23,I23)</f>
        <v>0</v>
      </c>
      <c r="M23" s="123">
        <f>SUM(D23,G23,J23)</f>
        <v>0</v>
      </c>
      <c r="N23" s="124">
        <f>SUM(L23:M23)</f>
        <v>0</v>
      </c>
      <c r="O23" s="300"/>
      <c r="P23" s="301"/>
      <c r="Q23" s="301"/>
      <c r="R23" s="301"/>
      <c r="S23" s="302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R23" s="38" t="s">
        <v>527</v>
      </c>
      <c r="AS23" s="40" t="s">
        <v>167</v>
      </c>
      <c r="AT23" s="41" t="s">
        <v>173</v>
      </c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374" s="45" customFormat="1" ht="25.5" customHeight="1">
      <c r="A24" s="328" t="s">
        <v>30</v>
      </c>
      <c r="B24" s="329"/>
      <c r="C24" s="16">
        <f>SUM(C25:C35)</f>
        <v>0</v>
      </c>
      <c r="D24" s="16">
        <f>SUM(D25:D35)</f>
        <v>0</v>
      </c>
      <c r="E24" s="16">
        <f>SUM(C24:D24)</f>
        <v>0</v>
      </c>
      <c r="F24" s="137">
        <f t="shared" ref="F24:G24" si="7">SUM(F25:F35)</f>
        <v>0</v>
      </c>
      <c r="G24" s="137">
        <f t="shared" si="7"/>
        <v>0</v>
      </c>
      <c r="H24" s="137">
        <f t="shared" ref="H24:H56" si="8">SUM(F24:G24)</f>
        <v>0</v>
      </c>
      <c r="I24" s="137">
        <f t="shared" ref="I24:J24" si="9">SUM(I25:I35)</f>
        <v>1</v>
      </c>
      <c r="J24" s="137">
        <f t="shared" si="9"/>
        <v>0</v>
      </c>
      <c r="K24" s="137">
        <f t="shared" ref="K24:K56" si="10">SUM(I24:J24)</f>
        <v>1</v>
      </c>
      <c r="L24" s="16">
        <f>SUM(C24,F24,I24)</f>
        <v>1</v>
      </c>
      <c r="M24" s="16">
        <f>SUM(D24,G24,J24)</f>
        <v>0</v>
      </c>
      <c r="N24" s="16">
        <f>SUM(L24:M24)</f>
        <v>1</v>
      </c>
      <c r="O24" s="330" t="s">
        <v>97</v>
      </c>
      <c r="P24" s="331"/>
      <c r="Q24" s="331"/>
      <c r="R24" s="331"/>
      <c r="S24" s="332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R24" s="38" t="s">
        <v>562</v>
      </c>
      <c r="AS24" s="40" t="s">
        <v>167</v>
      </c>
      <c r="AT24" s="41" t="s">
        <v>174</v>
      </c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374" s="45" customFormat="1" ht="24.75" customHeight="1">
      <c r="A25" s="333" t="s">
        <v>31</v>
      </c>
      <c r="B25" s="334"/>
      <c r="C25" s="30">
        <f>C78+D78+E78</f>
        <v>0</v>
      </c>
      <c r="D25" s="30">
        <f>C79+D79+E79</f>
        <v>0</v>
      </c>
      <c r="E25" s="139">
        <f t="shared" ref="E25:E35" si="11">SUM(C25:D25)</f>
        <v>0</v>
      </c>
      <c r="F25" s="31">
        <f>F78+G78+H78</f>
        <v>0</v>
      </c>
      <c r="G25" s="31">
        <f>F79+G79+H79</f>
        <v>0</v>
      </c>
      <c r="H25" s="141">
        <f t="shared" si="8"/>
        <v>0</v>
      </c>
      <c r="I25" s="32">
        <f>I78+J78+K78</f>
        <v>0</v>
      </c>
      <c r="J25" s="32">
        <f>I79+J79+K79</f>
        <v>0</v>
      </c>
      <c r="K25" s="144">
        <f t="shared" si="10"/>
        <v>0</v>
      </c>
      <c r="L25" s="125">
        <f t="shared" ref="L25:M75" si="12">SUM(C25,F25,I25)</f>
        <v>0</v>
      </c>
      <c r="M25" s="125">
        <f t="shared" si="12"/>
        <v>0</v>
      </c>
      <c r="N25" s="125">
        <f t="shared" ref="N25:N75" si="13">SUM(L25:M25)</f>
        <v>0</v>
      </c>
      <c r="O25" s="95"/>
      <c r="P25" s="96"/>
      <c r="Q25" s="96"/>
      <c r="R25" s="96"/>
      <c r="S25" s="33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R25" s="38" t="s">
        <v>579</v>
      </c>
      <c r="AS25" s="40" t="s">
        <v>167</v>
      </c>
      <c r="AT25" s="41" t="s">
        <v>175</v>
      </c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374" s="47" customFormat="1" ht="24.75" customHeight="1">
      <c r="A26" s="324" t="s">
        <v>32</v>
      </c>
      <c r="B26" s="325"/>
      <c r="C26" s="30">
        <v>0</v>
      </c>
      <c r="D26" s="30">
        <f>C81+D81+E81</f>
        <v>0</v>
      </c>
      <c r="E26" s="139">
        <f t="shared" si="11"/>
        <v>0</v>
      </c>
      <c r="F26" s="31">
        <f>F80+G80+H80</f>
        <v>0</v>
      </c>
      <c r="G26" s="31">
        <v>0</v>
      </c>
      <c r="H26" s="142">
        <f t="shared" si="8"/>
        <v>0</v>
      </c>
      <c r="I26" s="32">
        <f>I80+J80+K80</f>
        <v>0</v>
      </c>
      <c r="J26" s="32">
        <f>I81+J81+K81</f>
        <v>0</v>
      </c>
      <c r="K26" s="144">
        <f t="shared" si="10"/>
        <v>0</v>
      </c>
      <c r="L26" s="125">
        <f t="shared" si="12"/>
        <v>0</v>
      </c>
      <c r="M26" s="125">
        <f t="shared" si="12"/>
        <v>0</v>
      </c>
      <c r="N26" s="125">
        <f t="shared" si="13"/>
        <v>0</v>
      </c>
      <c r="O26" s="95"/>
      <c r="P26" s="96"/>
      <c r="Q26" s="96"/>
      <c r="R26" s="96"/>
      <c r="S26" s="33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R26" s="38" t="s">
        <v>591</v>
      </c>
      <c r="AS26" s="40" t="s">
        <v>167</v>
      </c>
      <c r="AT26" s="41" t="s">
        <v>176</v>
      </c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374" s="48" customFormat="1" ht="24.75" customHeight="1">
      <c r="A27" s="324" t="s">
        <v>33</v>
      </c>
      <c r="B27" s="325"/>
      <c r="C27" s="30">
        <f>C82+D82+E82</f>
        <v>0</v>
      </c>
      <c r="D27" s="30">
        <f>C83+D83+E83</f>
        <v>0</v>
      </c>
      <c r="E27" s="139">
        <f t="shared" si="11"/>
        <v>0</v>
      </c>
      <c r="F27" s="31">
        <f>F82+G82+H82</f>
        <v>0</v>
      </c>
      <c r="G27" s="31">
        <f>F83+G83+H83</f>
        <v>0</v>
      </c>
      <c r="H27" s="141">
        <f t="shared" si="8"/>
        <v>0</v>
      </c>
      <c r="I27" s="32">
        <f>I82+J82+K82</f>
        <v>0</v>
      </c>
      <c r="J27" s="32">
        <f>I83+J83+K83</f>
        <v>0</v>
      </c>
      <c r="K27" s="144">
        <f t="shared" si="10"/>
        <v>0</v>
      </c>
      <c r="L27" s="125">
        <f t="shared" si="12"/>
        <v>0</v>
      </c>
      <c r="M27" s="125">
        <f t="shared" si="12"/>
        <v>0</v>
      </c>
      <c r="N27" s="125">
        <f t="shared" si="13"/>
        <v>0</v>
      </c>
      <c r="O27" s="95"/>
      <c r="P27" s="96"/>
      <c r="Q27" s="96"/>
      <c r="R27" s="96"/>
      <c r="S27" s="33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45"/>
      <c r="AQ27" s="45"/>
      <c r="AR27" s="38" t="s">
        <v>600</v>
      </c>
      <c r="AS27" s="40" t="s">
        <v>167</v>
      </c>
      <c r="AT27" s="41" t="s">
        <v>177</v>
      </c>
      <c r="AU27" s="38"/>
      <c r="AV27" s="38"/>
      <c r="AW27" s="38"/>
      <c r="AX27" s="38"/>
      <c r="AY27" s="38"/>
      <c r="AZ27" s="38"/>
      <c r="BA27" s="38"/>
      <c r="BB27" s="38"/>
      <c r="BC27" s="38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/>
      <c r="IV27" s="45"/>
      <c r="IW27" s="45"/>
      <c r="IX27" s="45"/>
      <c r="IY27" s="45"/>
      <c r="IZ27" s="45"/>
      <c r="JA27" s="45"/>
      <c r="JB27" s="45"/>
      <c r="JC27" s="45"/>
      <c r="JD27" s="45"/>
      <c r="JE27" s="45"/>
      <c r="JF27" s="45"/>
      <c r="JG27" s="45"/>
      <c r="JH27" s="45"/>
      <c r="JI27" s="45"/>
      <c r="JJ27" s="45"/>
      <c r="JK27" s="45"/>
      <c r="JL27" s="45"/>
      <c r="JM27" s="45"/>
      <c r="JN27" s="45"/>
      <c r="JO27" s="45"/>
      <c r="JP27" s="45"/>
      <c r="JQ27" s="45"/>
      <c r="JR27" s="45"/>
      <c r="JS27" s="45"/>
      <c r="JT27" s="45"/>
      <c r="JU27" s="45"/>
      <c r="JV27" s="45"/>
      <c r="JW27" s="45"/>
      <c r="JX27" s="45"/>
      <c r="JY27" s="45"/>
      <c r="JZ27" s="45"/>
      <c r="KA27" s="45"/>
      <c r="KB27" s="45"/>
      <c r="KC27" s="45"/>
      <c r="KD27" s="45"/>
      <c r="KE27" s="45"/>
      <c r="KF27" s="45"/>
      <c r="KG27" s="45"/>
      <c r="KH27" s="45"/>
      <c r="KI27" s="45"/>
      <c r="KJ27" s="45"/>
      <c r="KK27" s="45"/>
      <c r="KL27" s="45"/>
      <c r="KM27" s="45"/>
      <c r="KN27" s="45"/>
      <c r="KO27" s="45"/>
      <c r="KP27" s="45"/>
      <c r="KQ27" s="45"/>
      <c r="KR27" s="45"/>
      <c r="KS27" s="45"/>
      <c r="KT27" s="45"/>
      <c r="KU27" s="45"/>
      <c r="KV27" s="45"/>
      <c r="KW27" s="45"/>
      <c r="KX27" s="45"/>
      <c r="KY27" s="45"/>
      <c r="KZ27" s="45"/>
      <c r="LA27" s="45"/>
      <c r="LB27" s="45"/>
      <c r="LC27" s="45"/>
      <c r="LD27" s="45"/>
      <c r="LE27" s="45"/>
      <c r="LF27" s="45"/>
      <c r="LG27" s="45"/>
      <c r="LH27" s="45"/>
      <c r="LI27" s="45"/>
      <c r="LJ27" s="45"/>
      <c r="LK27" s="45"/>
      <c r="LL27" s="45"/>
      <c r="LM27" s="45"/>
      <c r="LN27" s="45"/>
      <c r="LO27" s="45"/>
      <c r="LP27" s="45"/>
      <c r="LQ27" s="45"/>
      <c r="LR27" s="45"/>
      <c r="LS27" s="45"/>
      <c r="LT27" s="45"/>
      <c r="LU27" s="45"/>
      <c r="LV27" s="45"/>
      <c r="LW27" s="45"/>
      <c r="LX27" s="45"/>
      <c r="LY27" s="45"/>
      <c r="LZ27" s="45"/>
      <c r="MA27" s="45"/>
      <c r="MB27" s="45"/>
      <c r="MC27" s="45"/>
      <c r="MD27" s="45"/>
      <c r="ME27" s="45"/>
      <c r="MF27" s="45"/>
      <c r="MG27" s="45"/>
      <c r="MH27" s="45"/>
      <c r="MI27" s="45"/>
      <c r="MJ27" s="45"/>
      <c r="MK27" s="45"/>
      <c r="ML27" s="45"/>
      <c r="MM27" s="45"/>
      <c r="MN27" s="45"/>
      <c r="MO27" s="45"/>
      <c r="MP27" s="45"/>
      <c r="MQ27" s="45"/>
      <c r="MR27" s="45"/>
      <c r="MS27" s="45"/>
      <c r="MT27" s="45"/>
      <c r="MU27" s="45"/>
      <c r="MV27" s="45"/>
      <c r="MW27" s="45"/>
      <c r="MX27" s="45"/>
      <c r="MY27" s="45"/>
      <c r="MZ27" s="45"/>
      <c r="NA27" s="45"/>
      <c r="NB27" s="45"/>
      <c r="NC27" s="45"/>
      <c r="ND27" s="45"/>
      <c r="NE27" s="45"/>
      <c r="NF27" s="45"/>
      <c r="NG27" s="45"/>
      <c r="NH27" s="45"/>
      <c r="NI27" s="45"/>
      <c r="NJ27" s="45"/>
    </row>
    <row r="28" spans="1:374" s="45" customFormat="1" ht="24.75" customHeight="1">
      <c r="A28" s="324" t="s">
        <v>34</v>
      </c>
      <c r="B28" s="325"/>
      <c r="C28" s="30">
        <f>C84+D84+E84</f>
        <v>0</v>
      </c>
      <c r="D28" s="30">
        <f>C85+D85+E85</f>
        <v>0</v>
      </c>
      <c r="E28" s="139">
        <f t="shared" si="11"/>
        <v>0</v>
      </c>
      <c r="F28" s="31">
        <f>F84+G84+H84</f>
        <v>0</v>
      </c>
      <c r="G28" s="31">
        <f>F85+G85+H85</f>
        <v>0</v>
      </c>
      <c r="H28" s="141">
        <f t="shared" si="8"/>
        <v>0</v>
      </c>
      <c r="I28" s="32">
        <f>I84+J84+K84</f>
        <v>0</v>
      </c>
      <c r="J28" s="32">
        <f>I85+J85+K85</f>
        <v>0</v>
      </c>
      <c r="K28" s="144">
        <f t="shared" si="10"/>
        <v>0</v>
      </c>
      <c r="L28" s="125">
        <f t="shared" si="12"/>
        <v>0</v>
      </c>
      <c r="M28" s="125">
        <f t="shared" si="12"/>
        <v>0</v>
      </c>
      <c r="N28" s="125">
        <f t="shared" si="13"/>
        <v>0</v>
      </c>
      <c r="O28" s="95"/>
      <c r="P28" s="96"/>
      <c r="Q28" s="96"/>
      <c r="R28" s="96"/>
      <c r="S28" s="33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R28" s="38" t="s">
        <v>612</v>
      </c>
      <c r="AS28" s="40" t="s">
        <v>167</v>
      </c>
      <c r="AT28" s="41" t="s">
        <v>178</v>
      </c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374" s="45" customFormat="1" ht="24.75" customHeight="1">
      <c r="A29" s="324" t="s">
        <v>35</v>
      </c>
      <c r="B29" s="325"/>
      <c r="C29" s="30">
        <f>C86+D86+E86</f>
        <v>0</v>
      </c>
      <c r="D29" s="30">
        <f>C87+D87+E87</f>
        <v>0</v>
      </c>
      <c r="E29" s="139">
        <f t="shared" si="11"/>
        <v>0</v>
      </c>
      <c r="F29" s="31">
        <f>F86+G86+H86</f>
        <v>0</v>
      </c>
      <c r="G29" s="31">
        <f>F87+G87+H87</f>
        <v>0</v>
      </c>
      <c r="H29" s="141">
        <f t="shared" si="8"/>
        <v>0</v>
      </c>
      <c r="I29" s="32">
        <f>I86+J86+K86</f>
        <v>0</v>
      </c>
      <c r="J29" s="32">
        <f>I87+J87+K87</f>
        <v>0</v>
      </c>
      <c r="K29" s="144">
        <f t="shared" si="10"/>
        <v>0</v>
      </c>
      <c r="L29" s="125">
        <f t="shared" si="12"/>
        <v>0</v>
      </c>
      <c r="M29" s="125">
        <f t="shared" si="12"/>
        <v>0</v>
      </c>
      <c r="N29" s="125">
        <f t="shared" si="13"/>
        <v>0</v>
      </c>
      <c r="O29" s="95"/>
      <c r="P29" s="96"/>
      <c r="Q29" s="96"/>
      <c r="R29" s="96"/>
      <c r="S29" s="33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R29" s="38" t="s">
        <v>643</v>
      </c>
      <c r="AS29" s="40" t="s">
        <v>167</v>
      </c>
      <c r="AT29" s="41" t="s">
        <v>179</v>
      </c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374" s="45" customFormat="1" ht="24.75" customHeight="1">
      <c r="A30" s="324" t="s">
        <v>36</v>
      </c>
      <c r="B30" s="325"/>
      <c r="C30" s="30">
        <f>C88+D88+E88</f>
        <v>0</v>
      </c>
      <c r="D30" s="30">
        <f>C89+D89+E89</f>
        <v>0</v>
      </c>
      <c r="E30" s="139">
        <f t="shared" si="11"/>
        <v>0</v>
      </c>
      <c r="F30" s="31">
        <f>F88+G88+H88</f>
        <v>0</v>
      </c>
      <c r="G30" s="31">
        <f>F89+G89+H89</f>
        <v>0</v>
      </c>
      <c r="H30" s="141">
        <f t="shared" si="8"/>
        <v>0</v>
      </c>
      <c r="I30" s="32">
        <f>I88+J88+K88</f>
        <v>0</v>
      </c>
      <c r="J30" s="32">
        <f>I89+J89+K89</f>
        <v>0</v>
      </c>
      <c r="K30" s="144">
        <f t="shared" si="10"/>
        <v>0</v>
      </c>
      <c r="L30" s="125">
        <f t="shared" si="12"/>
        <v>0</v>
      </c>
      <c r="M30" s="125">
        <f t="shared" si="12"/>
        <v>0</v>
      </c>
      <c r="N30" s="125">
        <f t="shared" si="13"/>
        <v>0</v>
      </c>
      <c r="O30" s="95"/>
      <c r="P30" s="96"/>
      <c r="Q30" s="96"/>
      <c r="R30" s="96"/>
      <c r="S30" s="33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R30" s="38" t="s">
        <v>648</v>
      </c>
      <c r="AS30" s="40" t="s">
        <v>167</v>
      </c>
      <c r="AT30" s="41" t="s">
        <v>180</v>
      </c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374" s="45" customFormat="1" ht="24.75" customHeight="1">
      <c r="A31" s="324" t="s">
        <v>37</v>
      </c>
      <c r="B31" s="325"/>
      <c r="C31" s="30">
        <v>0</v>
      </c>
      <c r="D31" s="30">
        <f>C91+D91+E91</f>
        <v>0</v>
      </c>
      <c r="E31" s="139">
        <f t="shared" si="11"/>
        <v>0</v>
      </c>
      <c r="F31" s="31">
        <f>F90+G90+H90</f>
        <v>0</v>
      </c>
      <c r="G31" s="31">
        <f>F91+G91+H91</f>
        <v>0</v>
      </c>
      <c r="H31" s="141">
        <f t="shared" si="8"/>
        <v>0</v>
      </c>
      <c r="I31" s="32">
        <f>I90+J90+K90</f>
        <v>0</v>
      </c>
      <c r="J31" s="32">
        <f>I91+J91+K91</f>
        <v>0</v>
      </c>
      <c r="K31" s="144">
        <f t="shared" si="10"/>
        <v>0</v>
      </c>
      <c r="L31" s="125">
        <f t="shared" si="12"/>
        <v>0</v>
      </c>
      <c r="M31" s="125">
        <f t="shared" si="12"/>
        <v>0</v>
      </c>
      <c r="N31" s="125">
        <f t="shared" si="13"/>
        <v>0</v>
      </c>
      <c r="O31" s="95"/>
      <c r="P31" s="96"/>
      <c r="Q31" s="96"/>
      <c r="R31" s="96"/>
      <c r="S31" s="33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R31" s="38" t="s">
        <v>671</v>
      </c>
      <c r="AS31" s="40" t="s">
        <v>167</v>
      </c>
      <c r="AT31" s="41" t="s">
        <v>181</v>
      </c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374" s="45" customFormat="1" ht="24.75" customHeight="1">
      <c r="A32" s="324" t="s">
        <v>38</v>
      </c>
      <c r="B32" s="325"/>
      <c r="C32" s="30">
        <f>C92+D92+E92</f>
        <v>0</v>
      </c>
      <c r="D32" s="30">
        <v>0</v>
      </c>
      <c r="E32" s="139">
        <f>SUM(C32:D32)</f>
        <v>0</v>
      </c>
      <c r="F32" s="31">
        <v>0</v>
      </c>
      <c r="G32" s="31">
        <f>F93+G93+H93</f>
        <v>0</v>
      </c>
      <c r="H32" s="141">
        <f t="shared" si="8"/>
        <v>0</v>
      </c>
      <c r="I32" s="32">
        <v>1</v>
      </c>
      <c r="J32" s="32">
        <f>I93+J93+K93</f>
        <v>0</v>
      </c>
      <c r="K32" s="144">
        <f t="shared" si="10"/>
        <v>1</v>
      </c>
      <c r="L32" s="125">
        <f t="shared" si="12"/>
        <v>1</v>
      </c>
      <c r="M32" s="125">
        <f t="shared" si="12"/>
        <v>0</v>
      </c>
      <c r="N32" s="125">
        <f t="shared" si="13"/>
        <v>1</v>
      </c>
      <c r="O32" s="95"/>
      <c r="P32" s="96"/>
      <c r="Q32" s="96"/>
      <c r="R32" s="96"/>
      <c r="S32" s="33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R32" s="38" t="s">
        <v>705</v>
      </c>
      <c r="AS32" s="40" t="s">
        <v>167</v>
      </c>
      <c r="AT32" s="41" t="s">
        <v>182</v>
      </c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374" s="45" customFormat="1" ht="24.75" customHeight="1">
      <c r="A33" s="324" t="s">
        <v>39</v>
      </c>
      <c r="B33" s="325"/>
      <c r="C33" s="30">
        <f>C94+D94+E94</f>
        <v>0</v>
      </c>
      <c r="D33" s="30">
        <f>C95+D95+E95</f>
        <v>0</v>
      </c>
      <c r="E33" s="139">
        <f t="shared" si="11"/>
        <v>0</v>
      </c>
      <c r="F33" s="31">
        <f>F94+G94+H94</f>
        <v>0</v>
      </c>
      <c r="G33" s="31">
        <f>F95+G95+H95</f>
        <v>0</v>
      </c>
      <c r="H33" s="141">
        <f t="shared" si="8"/>
        <v>0</v>
      </c>
      <c r="I33" s="32">
        <f>I94+J94+K94</f>
        <v>0</v>
      </c>
      <c r="J33" s="32">
        <f>I95+J95+K95</f>
        <v>0</v>
      </c>
      <c r="K33" s="144">
        <f t="shared" si="10"/>
        <v>0</v>
      </c>
      <c r="L33" s="125">
        <f t="shared" si="12"/>
        <v>0</v>
      </c>
      <c r="M33" s="125">
        <f t="shared" si="12"/>
        <v>0</v>
      </c>
      <c r="N33" s="125">
        <f t="shared" si="13"/>
        <v>0</v>
      </c>
      <c r="O33" s="95"/>
      <c r="P33" s="96"/>
      <c r="Q33" s="96"/>
      <c r="R33" s="96"/>
      <c r="S33" s="33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R33" s="38" t="s">
        <v>706</v>
      </c>
      <c r="AS33" s="40" t="s">
        <v>167</v>
      </c>
      <c r="AT33" s="41" t="s">
        <v>183</v>
      </c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374" s="45" customFormat="1" ht="24.75" customHeight="1">
      <c r="A34" s="163" t="s">
        <v>926</v>
      </c>
      <c r="B34" s="164"/>
      <c r="C34" s="30">
        <f>C96+D96+E96</f>
        <v>0</v>
      </c>
      <c r="D34" s="30">
        <f>C97+D97+E97</f>
        <v>0</v>
      </c>
      <c r="E34" s="139">
        <f t="shared" si="11"/>
        <v>0</v>
      </c>
      <c r="F34" s="31">
        <f>F96+G96+H96</f>
        <v>0</v>
      </c>
      <c r="G34" s="31">
        <f>F97+G97+H97</f>
        <v>0</v>
      </c>
      <c r="H34" s="141">
        <f t="shared" si="8"/>
        <v>0</v>
      </c>
      <c r="I34" s="32">
        <f>I96+J96+K96</f>
        <v>0</v>
      </c>
      <c r="J34" s="32">
        <f>I97+J97+K97</f>
        <v>0</v>
      </c>
      <c r="K34" s="144">
        <f t="shared" si="10"/>
        <v>0</v>
      </c>
      <c r="L34" s="125">
        <f t="shared" si="12"/>
        <v>0</v>
      </c>
      <c r="M34" s="125">
        <f t="shared" si="12"/>
        <v>0</v>
      </c>
      <c r="N34" s="125">
        <f t="shared" si="13"/>
        <v>0</v>
      </c>
      <c r="O34" s="95"/>
      <c r="P34" s="96"/>
      <c r="Q34" s="96"/>
      <c r="R34" s="96"/>
      <c r="S34" s="96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R34" s="38"/>
      <c r="AS34" s="40"/>
      <c r="AT34" s="41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374" s="45" customFormat="1" ht="24.75" customHeight="1">
      <c r="A35" s="163" t="s">
        <v>927</v>
      </c>
      <c r="B35" s="164"/>
      <c r="C35" s="30">
        <f>C98+D98+E98</f>
        <v>0</v>
      </c>
      <c r="D35" s="30">
        <f>C99+D99+E99</f>
        <v>0</v>
      </c>
      <c r="E35" s="139">
        <f t="shared" si="11"/>
        <v>0</v>
      </c>
      <c r="F35" s="31">
        <f>F98+G98+H98</f>
        <v>0</v>
      </c>
      <c r="G35" s="31">
        <f>F99+G99+H99</f>
        <v>0</v>
      </c>
      <c r="H35" s="141">
        <f t="shared" si="8"/>
        <v>0</v>
      </c>
      <c r="I35" s="32">
        <f>I98+J98+K98</f>
        <v>0</v>
      </c>
      <c r="J35" s="32">
        <f>I99+J99+K99</f>
        <v>0</v>
      </c>
      <c r="K35" s="144">
        <f t="shared" si="10"/>
        <v>0</v>
      </c>
      <c r="L35" s="125">
        <f t="shared" si="12"/>
        <v>0</v>
      </c>
      <c r="M35" s="125">
        <f t="shared" si="12"/>
        <v>0</v>
      </c>
      <c r="N35" s="125">
        <f t="shared" si="13"/>
        <v>0</v>
      </c>
      <c r="O35" s="95"/>
      <c r="P35" s="96"/>
      <c r="Q35" s="96"/>
      <c r="R35" s="96"/>
      <c r="S35" s="96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R35" s="38"/>
      <c r="AS35" s="40"/>
      <c r="AT35" s="41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374" s="45" customFormat="1" ht="24.75" customHeight="1">
      <c r="A36" s="326" t="s">
        <v>40</v>
      </c>
      <c r="B36" s="327"/>
      <c r="C36" s="15">
        <f>SUM(C37:C45)</f>
        <v>6</v>
      </c>
      <c r="D36" s="15">
        <f>SUM(D37:D45)</f>
        <v>7</v>
      </c>
      <c r="E36" s="15">
        <f>SUM(C36:D36)</f>
        <v>13</v>
      </c>
      <c r="F36" s="15">
        <f t="shared" ref="F36:G36" si="14">SUM(F37:F45)</f>
        <v>9</v>
      </c>
      <c r="G36" s="15">
        <f t="shared" si="14"/>
        <v>6</v>
      </c>
      <c r="H36" s="15">
        <f t="shared" si="8"/>
        <v>15</v>
      </c>
      <c r="I36" s="15">
        <f t="shared" ref="I36:J36" si="15">SUM(I37:I45)</f>
        <v>36</v>
      </c>
      <c r="J36" s="15">
        <f t="shared" si="15"/>
        <v>31</v>
      </c>
      <c r="K36" s="15">
        <f t="shared" si="10"/>
        <v>67</v>
      </c>
      <c r="L36" s="16">
        <f t="shared" si="12"/>
        <v>51</v>
      </c>
      <c r="M36" s="16">
        <f t="shared" si="12"/>
        <v>44</v>
      </c>
      <c r="N36" s="16">
        <f t="shared" si="13"/>
        <v>95</v>
      </c>
      <c r="O36" s="340" t="s">
        <v>128</v>
      </c>
      <c r="P36" s="341"/>
      <c r="Q36" s="341"/>
      <c r="R36" s="341"/>
      <c r="S36" s="342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R36" s="38" t="s">
        <v>739</v>
      </c>
      <c r="AS36" s="40" t="s">
        <v>167</v>
      </c>
      <c r="AT36" s="41" t="s">
        <v>184</v>
      </c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374" s="45" customFormat="1" ht="24.75" customHeight="1">
      <c r="A37" s="335" t="s">
        <v>41</v>
      </c>
      <c r="B37" s="336"/>
      <c r="C37" s="30">
        <v>2</v>
      </c>
      <c r="D37" s="30">
        <v>1</v>
      </c>
      <c r="E37" s="139">
        <f t="shared" ref="E37:E45" si="16">SUM(C37:D37)</f>
        <v>3</v>
      </c>
      <c r="F37" s="31">
        <v>0</v>
      </c>
      <c r="G37" s="31">
        <v>1</v>
      </c>
      <c r="H37" s="141">
        <f t="shared" si="8"/>
        <v>1</v>
      </c>
      <c r="I37" s="32">
        <v>3</v>
      </c>
      <c r="J37" s="32">
        <v>9</v>
      </c>
      <c r="K37" s="145">
        <f t="shared" si="10"/>
        <v>12</v>
      </c>
      <c r="L37" s="126">
        <f t="shared" si="12"/>
        <v>5</v>
      </c>
      <c r="M37" s="126">
        <f t="shared" si="12"/>
        <v>11</v>
      </c>
      <c r="N37" s="126">
        <f t="shared" si="13"/>
        <v>16</v>
      </c>
      <c r="O37" s="337"/>
      <c r="P37" s="338"/>
      <c r="Q37" s="338"/>
      <c r="R37" s="338"/>
      <c r="S37" s="339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R37" s="38" t="s">
        <v>771</v>
      </c>
      <c r="AS37" s="40" t="s">
        <v>167</v>
      </c>
      <c r="AT37" s="41" t="s">
        <v>185</v>
      </c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374" s="45" customFormat="1" ht="24.75" customHeight="1">
      <c r="A38" s="335" t="s">
        <v>42</v>
      </c>
      <c r="B38" s="336"/>
      <c r="C38" s="30">
        <f>C102+D102+E102</f>
        <v>0</v>
      </c>
      <c r="D38" s="30">
        <f>C103+D103+E103</f>
        <v>0</v>
      </c>
      <c r="E38" s="139">
        <f t="shared" si="16"/>
        <v>0</v>
      </c>
      <c r="F38" s="31">
        <f>F102+G102+H102</f>
        <v>0</v>
      </c>
      <c r="G38" s="31">
        <f>F103+G103+H103</f>
        <v>0</v>
      </c>
      <c r="H38" s="141">
        <f t="shared" si="8"/>
        <v>0</v>
      </c>
      <c r="I38" s="32">
        <f>I102+J102+K102</f>
        <v>0</v>
      </c>
      <c r="J38" s="32">
        <f>I103+J103+K103</f>
        <v>0</v>
      </c>
      <c r="K38" s="145">
        <f t="shared" si="10"/>
        <v>0</v>
      </c>
      <c r="L38" s="126">
        <f t="shared" si="12"/>
        <v>0</v>
      </c>
      <c r="M38" s="126">
        <f t="shared" si="12"/>
        <v>0</v>
      </c>
      <c r="N38" s="126">
        <f t="shared" si="13"/>
        <v>0</v>
      </c>
      <c r="O38" s="337"/>
      <c r="P38" s="338"/>
      <c r="Q38" s="338"/>
      <c r="R38" s="338"/>
      <c r="S38" s="339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R38" s="38" t="s">
        <v>780</v>
      </c>
      <c r="AS38" s="40" t="s">
        <v>167</v>
      </c>
      <c r="AT38" s="41" t="s">
        <v>186</v>
      </c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374" s="48" customFormat="1" ht="24.75" customHeight="1">
      <c r="A39" s="335" t="s">
        <v>43</v>
      </c>
      <c r="B39" s="336"/>
      <c r="C39" s="30">
        <f>C104+D104+E104</f>
        <v>0</v>
      </c>
      <c r="D39" s="30">
        <f>C105+D105+E105</f>
        <v>0</v>
      </c>
      <c r="E39" s="139">
        <f t="shared" si="16"/>
        <v>0</v>
      </c>
      <c r="F39" s="31">
        <f>F104+G104+H104</f>
        <v>0</v>
      </c>
      <c r="G39" s="31">
        <f>F105+G105+H105</f>
        <v>0</v>
      </c>
      <c r="H39" s="141">
        <f t="shared" si="8"/>
        <v>0</v>
      </c>
      <c r="I39" s="32">
        <f>I104+J104+K104</f>
        <v>0</v>
      </c>
      <c r="J39" s="32">
        <f>I105+J105+K105</f>
        <v>0</v>
      </c>
      <c r="K39" s="145">
        <f t="shared" si="10"/>
        <v>0</v>
      </c>
      <c r="L39" s="126">
        <f t="shared" si="12"/>
        <v>0</v>
      </c>
      <c r="M39" s="126">
        <f t="shared" si="12"/>
        <v>0</v>
      </c>
      <c r="N39" s="126">
        <f t="shared" si="13"/>
        <v>0</v>
      </c>
      <c r="O39" s="337"/>
      <c r="P39" s="338"/>
      <c r="Q39" s="338"/>
      <c r="R39" s="338"/>
      <c r="S39" s="3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45"/>
      <c r="AQ39" s="45"/>
      <c r="AR39" s="38" t="s">
        <v>853</v>
      </c>
      <c r="AS39" s="40" t="s">
        <v>167</v>
      </c>
      <c r="AT39" s="41" t="s">
        <v>187</v>
      </c>
      <c r="AU39" s="38"/>
      <c r="AV39" s="38"/>
      <c r="AW39" s="38"/>
      <c r="AX39" s="38"/>
      <c r="AY39" s="38"/>
      <c r="AZ39" s="38"/>
      <c r="BA39" s="38"/>
      <c r="BB39" s="38"/>
      <c r="BC39" s="38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  <c r="IW39" s="45"/>
      <c r="IX39" s="45"/>
      <c r="IY39" s="45"/>
      <c r="IZ39" s="45"/>
      <c r="JA39" s="45"/>
      <c r="JB39" s="45"/>
      <c r="JC39" s="45"/>
      <c r="JD39" s="45"/>
      <c r="JE39" s="45"/>
      <c r="JF39" s="45"/>
      <c r="JG39" s="45"/>
      <c r="JH39" s="45"/>
      <c r="JI39" s="45"/>
      <c r="JJ39" s="45"/>
      <c r="JK39" s="45"/>
      <c r="JL39" s="45"/>
      <c r="JM39" s="45"/>
      <c r="JN39" s="45"/>
      <c r="JO39" s="45"/>
      <c r="JP39" s="45"/>
      <c r="JQ39" s="45"/>
      <c r="JR39" s="45"/>
      <c r="JS39" s="45"/>
      <c r="JT39" s="45"/>
      <c r="JU39" s="45"/>
      <c r="JV39" s="45"/>
      <c r="JW39" s="45"/>
      <c r="JX39" s="45"/>
      <c r="JY39" s="45"/>
      <c r="JZ39" s="45"/>
      <c r="KA39" s="45"/>
      <c r="KB39" s="45"/>
      <c r="KC39" s="45"/>
      <c r="KD39" s="45"/>
      <c r="KE39" s="45"/>
      <c r="KF39" s="45"/>
      <c r="KG39" s="45"/>
      <c r="KH39" s="45"/>
      <c r="KI39" s="45"/>
      <c r="KJ39" s="45"/>
      <c r="KK39" s="45"/>
      <c r="KL39" s="45"/>
      <c r="KM39" s="45"/>
      <c r="KN39" s="45"/>
      <c r="KO39" s="45"/>
      <c r="KP39" s="45"/>
      <c r="KQ39" s="45"/>
      <c r="KR39" s="45"/>
      <c r="KS39" s="45"/>
      <c r="KT39" s="45"/>
      <c r="KU39" s="45"/>
      <c r="KV39" s="45"/>
      <c r="KW39" s="45"/>
      <c r="KX39" s="45"/>
      <c r="KY39" s="45"/>
      <c r="KZ39" s="45"/>
      <c r="LA39" s="45"/>
      <c r="LB39" s="45"/>
      <c r="LC39" s="45"/>
      <c r="LD39" s="45"/>
      <c r="LE39" s="45"/>
      <c r="LF39" s="45"/>
      <c r="LG39" s="45"/>
      <c r="LH39" s="45"/>
      <c r="LI39" s="45"/>
      <c r="LJ39" s="45"/>
      <c r="LK39" s="45"/>
      <c r="LL39" s="45"/>
      <c r="LM39" s="45"/>
      <c r="LN39" s="45"/>
      <c r="LO39" s="45"/>
      <c r="LP39" s="45"/>
      <c r="LQ39" s="45"/>
      <c r="LR39" s="45"/>
      <c r="LS39" s="45"/>
      <c r="LT39" s="45"/>
      <c r="LU39" s="45"/>
      <c r="LV39" s="45"/>
      <c r="LW39" s="45"/>
      <c r="LX39" s="45"/>
      <c r="LY39" s="45"/>
      <c r="LZ39" s="45"/>
      <c r="MA39" s="45"/>
      <c r="MB39" s="45"/>
      <c r="MC39" s="45"/>
      <c r="MD39" s="45"/>
      <c r="ME39" s="45"/>
      <c r="MF39" s="45"/>
      <c r="MG39" s="45"/>
      <c r="MH39" s="45"/>
      <c r="MI39" s="45"/>
      <c r="MJ39" s="45"/>
      <c r="MK39" s="45"/>
      <c r="ML39" s="45"/>
      <c r="MM39" s="45"/>
      <c r="MN39" s="45"/>
      <c r="MO39" s="45"/>
      <c r="MP39" s="45"/>
      <c r="MQ39" s="45"/>
      <c r="MR39" s="45"/>
      <c r="MS39" s="45"/>
      <c r="MT39" s="45"/>
      <c r="MU39" s="45"/>
      <c r="MV39" s="45"/>
      <c r="MW39" s="45"/>
      <c r="MX39" s="45"/>
      <c r="MY39" s="45"/>
      <c r="MZ39" s="45"/>
      <c r="NA39" s="45"/>
      <c r="NB39" s="45"/>
      <c r="NC39" s="45"/>
      <c r="ND39" s="45"/>
      <c r="NE39" s="45"/>
      <c r="NF39" s="45"/>
      <c r="NG39" s="45"/>
      <c r="NH39" s="45"/>
      <c r="NI39" s="45"/>
      <c r="NJ39" s="45"/>
    </row>
    <row r="40" spans="1:374" s="45" customFormat="1" ht="24.75" customHeight="1">
      <c r="A40" s="335" t="s">
        <v>44</v>
      </c>
      <c r="B40" s="336"/>
      <c r="C40" s="30">
        <f>C106+D106+E106</f>
        <v>0</v>
      </c>
      <c r="D40" s="30">
        <v>1</v>
      </c>
      <c r="E40" s="139">
        <f t="shared" si="16"/>
        <v>1</v>
      </c>
      <c r="F40" s="31">
        <f>F106+G106+H106</f>
        <v>0</v>
      </c>
      <c r="G40" s="31">
        <f>F107+G107+H107</f>
        <v>0</v>
      </c>
      <c r="H40" s="141">
        <f t="shared" si="8"/>
        <v>0</v>
      </c>
      <c r="I40" s="135"/>
      <c r="J40" s="136"/>
      <c r="K40" s="145">
        <f t="shared" si="10"/>
        <v>0</v>
      </c>
      <c r="L40" s="126">
        <f t="shared" si="12"/>
        <v>0</v>
      </c>
      <c r="M40" s="126">
        <f t="shared" si="12"/>
        <v>1</v>
      </c>
      <c r="N40" s="126">
        <f t="shared" si="13"/>
        <v>1</v>
      </c>
      <c r="O40" s="337"/>
      <c r="P40" s="338"/>
      <c r="Q40" s="338"/>
      <c r="R40" s="338"/>
      <c r="S40" s="339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R40" s="38" t="s">
        <v>867</v>
      </c>
      <c r="AS40" s="40" t="s">
        <v>167</v>
      </c>
      <c r="AT40" s="41" t="s">
        <v>188</v>
      </c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374" s="45" customFormat="1" ht="24.75" customHeight="1">
      <c r="A41" s="335" t="s">
        <v>45</v>
      </c>
      <c r="B41" s="336"/>
      <c r="C41" s="129"/>
      <c r="D41" s="129"/>
      <c r="E41" s="17"/>
      <c r="F41" s="135"/>
      <c r="G41" s="135"/>
      <c r="H41" s="18"/>
      <c r="I41" s="32">
        <f>I108+J108+K108</f>
        <v>0</v>
      </c>
      <c r="J41" s="32">
        <f>I109+J109+K109</f>
        <v>0</v>
      </c>
      <c r="K41" s="145">
        <f t="shared" si="10"/>
        <v>0</v>
      </c>
      <c r="L41" s="126">
        <f t="shared" si="12"/>
        <v>0</v>
      </c>
      <c r="M41" s="126">
        <f t="shared" si="12"/>
        <v>0</v>
      </c>
      <c r="N41" s="126">
        <f t="shared" si="13"/>
        <v>0</v>
      </c>
      <c r="O41" s="337"/>
      <c r="P41" s="338"/>
      <c r="Q41" s="338"/>
      <c r="R41" s="338"/>
      <c r="S41" s="339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S41" s="40" t="s">
        <v>189</v>
      </c>
      <c r="AT41" s="41" t="s">
        <v>190</v>
      </c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374" s="45" customFormat="1" ht="24.75" customHeight="1">
      <c r="A42" s="335" t="s">
        <v>46</v>
      </c>
      <c r="B42" s="336"/>
      <c r="C42" s="129"/>
      <c r="D42" s="129"/>
      <c r="E42" s="139">
        <f t="shared" si="16"/>
        <v>0</v>
      </c>
      <c r="F42" s="31">
        <f>F110+G110+H110</f>
        <v>0</v>
      </c>
      <c r="G42" s="31">
        <f>F111+G111+H111</f>
        <v>0</v>
      </c>
      <c r="H42" s="141">
        <f t="shared" si="8"/>
        <v>0</v>
      </c>
      <c r="I42" s="32">
        <v>17</v>
      </c>
      <c r="J42" s="32">
        <v>7</v>
      </c>
      <c r="K42" s="145">
        <f t="shared" si="10"/>
        <v>24</v>
      </c>
      <c r="L42" s="126">
        <f t="shared" si="12"/>
        <v>17</v>
      </c>
      <c r="M42" s="126">
        <f t="shared" si="12"/>
        <v>7</v>
      </c>
      <c r="N42" s="126">
        <f t="shared" si="13"/>
        <v>24</v>
      </c>
      <c r="O42" s="337"/>
      <c r="P42" s="338"/>
      <c r="Q42" s="338"/>
      <c r="R42" s="338"/>
      <c r="S42" s="339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S42" s="40" t="s">
        <v>189</v>
      </c>
      <c r="AT42" s="41" t="s">
        <v>191</v>
      </c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374" s="45" customFormat="1" ht="24.75" customHeight="1">
      <c r="A43" s="335" t="s">
        <v>47</v>
      </c>
      <c r="B43" s="336"/>
      <c r="C43" s="30">
        <f>C112+D112+E112</f>
        <v>0</v>
      </c>
      <c r="D43" s="30">
        <f>C113+D113+E113</f>
        <v>0</v>
      </c>
      <c r="E43" s="139">
        <f t="shared" si="16"/>
        <v>0</v>
      </c>
      <c r="F43" s="31">
        <v>0</v>
      </c>
      <c r="G43" s="31">
        <f>F113+G113+H113</f>
        <v>0</v>
      </c>
      <c r="H43" s="141">
        <f t="shared" si="8"/>
        <v>0</v>
      </c>
      <c r="I43" s="32">
        <f>I112+J112+K112</f>
        <v>0</v>
      </c>
      <c r="J43" s="32">
        <f>I113+J113+K113</f>
        <v>0</v>
      </c>
      <c r="K43" s="145">
        <f t="shared" si="10"/>
        <v>0</v>
      </c>
      <c r="L43" s="126">
        <f t="shared" si="12"/>
        <v>0</v>
      </c>
      <c r="M43" s="126">
        <f t="shared" si="12"/>
        <v>0</v>
      </c>
      <c r="N43" s="126">
        <f t="shared" si="13"/>
        <v>0</v>
      </c>
      <c r="O43" s="337"/>
      <c r="P43" s="338"/>
      <c r="Q43" s="338"/>
      <c r="R43" s="338"/>
      <c r="S43" s="339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S43" s="40" t="s">
        <v>189</v>
      </c>
      <c r="AT43" s="41" t="s">
        <v>192</v>
      </c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374" s="45" customFormat="1" ht="24.75" customHeight="1">
      <c r="A44" s="348" t="s">
        <v>928</v>
      </c>
      <c r="B44" s="349"/>
      <c r="C44" s="30">
        <f>C114+D114+E114</f>
        <v>0</v>
      </c>
      <c r="D44" s="30">
        <f>C115+D115+E115</f>
        <v>0</v>
      </c>
      <c r="E44" s="139">
        <f t="shared" si="16"/>
        <v>0</v>
      </c>
      <c r="F44" s="31">
        <f>F114+G114+H114</f>
        <v>0</v>
      </c>
      <c r="G44" s="31">
        <f>F115+G115+H115</f>
        <v>0</v>
      </c>
      <c r="H44" s="141">
        <f t="shared" si="8"/>
        <v>0</v>
      </c>
      <c r="I44" s="135"/>
      <c r="J44" s="136"/>
      <c r="K44" s="145">
        <f t="shared" si="10"/>
        <v>0</v>
      </c>
      <c r="L44" s="126">
        <f t="shared" si="12"/>
        <v>0</v>
      </c>
      <c r="M44" s="126">
        <f t="shared" si="12"/>
        <v>0</v>
      </c>
      <c r="N44" s="126">
        <f t="shared" si="13"/>
        <v>0</v>
      </c>
      <c r="O44" s="160"/>
      <c r="P44" s="160"/>
      <c r="Q44" s="160"/>
      <c r="R44" s="160"/>
      <c r="S44" s="160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S44" s="40"/>
      <c r="AT44" s="41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374" s="45" customFormat="1" ht="24.75" customHeight="1">
      <c r="A45" s="348" t="s">
        <v>929</v>
      </c>
      <c r="B45" s="349"/>
      <c r="C45" s="30">
        <v>4</v>
      </c>
      <c r="D45" s="30">
        <v>5</v>
      </c>
      <c r="E45" s="139">
        <f t="shared" si="16"/>
        <v>9</v>
      </c>
      <c r="F45" s="31">
        <v>9</v>
      </c>
      <c r="G45" s="31">
        <v>5</v>
      </c>
      <c r="H45" s="141">
        <f t="shared" si="8"/>
        <v>14</v>
      </c>
      <c r="I45" s="32">
        <v>16</v>
      </c>
      <c r="J45" s="32">
        <v>15</v>
      </c>
      <c r="K45" s="145">
        <f t="shared" si="10"/>
        <v>31</v>
      </c>
      <c r="L45" s="126">
        <f t="shared" si="12"/>
        <v>29</v>
      </c>
      <c r="M45" s="126">
        <f t="shared" si="12"/>
        <v>25</v>
      </c>
      <c r="N45" s="126">
        <f t="shared" si="13"/>
        <v>54</v>
      </c>
      <c r="O45" s="160"/>
      <c r="P45" s="160"/>
      <c r="Q45" s="160"/>
      <c r="R45" s="160"/>
      <c r="S45" s="160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S45" s="40"/>
      <c r="AT45" s="41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374" s="45" customFormat="1" ht="24.75" customHeight="1">
      <c r="A46" s="350" t="s">
        <v>48</v>
      </c>
      <c r="B46" s="351"/>
      <c r="C46" s="15">
        <f>SUM(C47:C55)</f>
        <v>1</v>
      </c>
      <c r="D46" s="15">
        <f>SUM(D47:D55)</f>
        <v>1</v>
      </c>
      <c r="E46" s="15">
        <f>SUM(C46:D46)</f>
        <v>2</v>
      </c>
      <c r="F46" s="15">
        <f t="shared" ref="F46:G46" si="17">SUM(F47:F55)</f>
        <v>12</v>
      </c>
      <c r="G46" s="15">
        <f t="shared" si="17"/>
        <v>11</v>
      </c>
      <c r="H46" s="15">
        <f t="shared" si="8"/>
        <v>23</v>
      </c>
      <c r="I46" s="15">
        <f t="shared" ref="I46:J46" si="18">SUM(I47:I55)</f>
        <v>86</v>
      </c>
      <c r="J46" s="15">
        <f t="shared" si="18"/>
        <v>72</v>
      </c>
      <c r="K46" s="15">
        <f t="shared" si="10"/>
        <v>158</v>
      </c>
      <c r="L46" s="16">
        <f t="shared" si="12"/>
        <v>99</v>
      </c>
      <c r="M46" s="16">
        <f t="shared" si="12"/>
        <v>84</v>
      </c>
      <c r="N46" s="16">
        <f t="shared" si="13"/>
        <v>183</v>
      </c>
      <c r="O46" s="340" t="s">
        <v>98</v>
      </c>
      <c r="P46" s="341"/>
      <c r="Q46" s="341"/>
      <c r="R46" s="341"/>
      <c r="S46" s="342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S46" s="40" t="s">
        <v>189</v>
      </c>
      <c r="AT46" s="41" t="s">
        <v>193</v>
      </c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374" s="45" customFormat="1" ht="24.75" customHeight="1">
      <c r="A47" s="343" t="s">
        <v>49</v>
      </c>
      <c r="B47" s="344"/>
      <c r="C47" s="30">
        <v>1</v>
      </c>
      <c r="D47" s="30">
        <v>1</v>
      </c>
      <c r="E47" s="139">
        <f t="shared" ref="E47:E55" si="19">SUM(C47:D47)</f>
        <v>2</v>
      </c>
      <c r="F47" s="31">
        <v>5</v>
      </c>
      <c r="G47" s="31">
        <v>3</v>
      </c>
      <c r="H47" s="141">
        <f t="shared" si="8"/>
        <v>8</v>
      </c>
      <c r="I47" s="32">
        <f>I118+J118+K118</f>
        <v>9</v>
      </c>
      <c r="J47" s="32">
        <f>I119+J119+K119</f>
        <v>6</v>
      </c>
      <c r="K47" s="145">
        <f t="shared" si="10"/>
        <v>15</v>
      </c>
      <c r="L47" s="126">
        <f t="shared" si="12"/>
        <v>15</v>
      </c>
      <c r="M47" s="126">
        <f t="shared" si="12"/>
        <v>10</v>
      </c>
      <c r="N47" s="126">
        <f t="shared" si="13"/>
        <v>25</v>
      </c>
      <c r="O47" s="345"/>
      <c r="P47" s="346"/>
      <c r="Q47" s="346"/>
      <c r="R47" s="346"/>
      <c r="S47" s="347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S47" s="40" t="s">
        <v>189</v>
      </c>
      <c r="AT47" s="41" t="s">
        <v>194</v>
      </c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374" s="45" customFormat="1" ht="24.75" customHeight="1">
      <c r="A48" s="343" t="s">
        <v>50</v>
      </c>
      <c r="B48" s="344"/>
      <c r="C48" s="30">
        <f>C120+D120+E120</f>
        <v>0</v>
      </c>
      <c r="D48" s="30">
        <f>C121+D121+E121</f>
        <v>0</v>
      </c>
      <c r="E48" s="139">
        <f t="shared" si="19"/>
        <v>0</v>
      </c>
      <c r="F48" s="31">
        <f>F120+G120+H120</f>
        <v>0</v>
      </c>
      <c r="G48" s="31">
        <v>0</v>
      </c>
      <c r="H48" s="141">
        <f t="shared" si="8"/>
        <v>0</v>
      </c>
      <c r="I48" s="32">
        <v>2</v>
      </c>
      <c r="J48" s="32">
        <v>1</v>
      </c>
      <c r="K48" s="145">
        <f t="shared" si="10"/>
        <v>3</v>
      </c>
      <c r="L48" s="126">
        <f t="shared" si="12"/>
        <v>2</v>
      </c>
      <c r="M48" s="126">
        <f t="shared" si="12"/>
        <v>1</v>
      </c>
      <c r="N48" s="126">
        <f t="shared" si="13"/>
        <v>3</v>
      </c>
      <c r="O48" s="345"/>
      <c r="P48" s="346"/>
      <c r="Q48" s="346"/>
      <c r="R48" s="346"/>
      <c r="S48" s="347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S48" s="40" t="s">
        <v>189</v>
      </c>
      <c r="AT48" s="41" t="s">
        <v>195</v>
      </c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374" s="48" customFormat="1" ht="24.75" customHeight="1">
      <c r="A49" s="343" t="s">
        <v>51</v>
      </c>
      <c r="B49" s="344"/>
      <c r="C49" s="133"/>
      <c r="D49" s="133"/>
      <c r="E49" s="17"/>
      <c r="F49" s="134"/>
      <c r="G49" s="134"/>
      <c r="H49" s="18"/>
      <c r="I49" s="32">
        <f>I122+J122+K122</f>
        <v>0</v>
      </c>
      <c r="J49" s="32">
        <f>I123+J123+K123</f>
        <v>0</v>
      </c>
      <c r="K49" s="145">
        <f t="shared" si="10"/>
        <v>0</v>
      </c>
      <c r="L49" s="126">
        <f t="shared" si="12"/>
        <v>0</v>
      </c>
      <c r="M49" s="126">
        <f t="shared" si="12"/>
        <v>0</v>
      </c>
      <c r="N49" s="126">
        <f t="shared" si="13"/>
        <v>0</v>
      </c>
      <c r="O49" s="345"/>
      <c r="P49" s="346"/>
      <c r="Q49" s="346"/>
      <c r="R49" s="346"/>
      <c r="S49" s="347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45"/>
      <c r="AQ49" s="45"/>
      <c r="AR49" s="45"/>
      <c r="AS49" s="40" t="s">
        <v>189</v>
      </c>
      <c r="AT49" s="41" t="s">
        <v>196</v>
      </c>
      <c r="AU49" s="38"/>
      <c r="AV49" s="38"/>
      <c r="AW49" s="38"/>
      <c r="AX49" s="38"/>
      <c r="AY49" s="38"/>
      <c r="AZ49" s="38"/>
      <c r="BA49" s="38"/>
      <c r="BB49" s="38"/>
      <c r="BC49" s="38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  <c r="GL49" s="45"/>
      <c r="GM49" s="45"/>
      <c r="GN49" s="45"/>
      <c r="GO49" s="45"/>
      <c r="GP49" s="45"/>
      <c r="GQ49" s="45"/>
      <c r="GR49" s="45"/>
      <c r="GS49" s="45"/>
      <c r="GT49" s="45"/>
      <c r="GU49" s="45"/>
      <c r="GV49" s="45"/>
      <c r="GW49" s="45"/>
      <c r="GX49" s="45"/>
      <c r="GY49" s="45"/>
      <c r="GZ49" s="45"/>
      <c r="HA49" s="45"/>
      <c r="HB49" s="45"/>
      <c r="HC49" s="45"/>
      <c r="HD49" s="45"/>
      <c r="HE49" s="45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  <c r="IX49" s="45"/>
      <c r="IY49" s="45"/>
      <c r="IZ49" s="45"/>
      <c r="JA49" s="45"/>
      <c r="JB49" s="45"/>
      <c r="JC49" s="45"/>
      <c r="JD49" s="45"/>
      <c r="JE49" s="45"/>
      <c r="JF49" s="45"/>
      <c r="JG49" s="45"/>
      <c r="JH49" s="45"/>
      <c r="JI49" s="45"/>
      <c r="JJ49" s="45"/>
      <c r="JK49" s="45"/>
      <c r="JL49" s="45"/>
      <c r="JM49" s="45"/>
      <c r="JN49" s="45"/>
      <c r="JO49" s="45"/>
      <c r="JP49" s="45"/>
      <c r="JQ49" s="45"/>
      <c r="JR49" s="45"/>
      <c r="JS49" s="45"/>
      <c r="JT49" s="45"/>
      <c r="JU49" s="45"/>
      <c r="JV49" s="45"/>
      <c r="JW49" s="45"/>
      <c r="JX49" s="45"/>
      <c r="JY49" s="45"/>
      <c r="JZ49" s="45"/>
      <c r="KA49" s="45"/>
      <c r="KB49" s="45"/>
      <c r="KC49" s="45"/>
      <c r="KD49" s="45"/>
      <c r="KE49" s="45"/>
      <c r="KF49" s="45"/>
      <c r="KG49" s="45"/>
      <c r="KH49" s="45"/>
      <c r="KI49" s="45"/>
      <c r="KJ49" s="45"/>
      <c r="KK49" s="45"/>
      <c r="KL49" s="45"/>
      <c r="KM49" s="45"/>
      <c r="KN49" s="45"/>
      <c r="KO49" s="45"/>
      <c r="KP49" s="45"/>
      <c r="KQ49" s="45"/>
      <c r="KR49" s="45"/>
      <c r="KS49" s="45"/>
      <c r="KT49" s="45"/>
      <c r="KU49" s="45"/>
      <c r="KV49" s="45"/>
      <c r="KW49" s="45"/>
      <c r="KX49" s="45"/>
      <c r="KY49" s="45"/>
      <c r="KZ49" s="45"/>
      <c r="LA49" s="45"/>
      <c r="LB49" s="45"/>
      <c r="LC49" s="45"/>
      <c r="LD49" s="45"/>
      <c r="LE49" s="45"/>
      <c r="LF49" s="45"/>
      <c r="LG49" s="45"/>
      <c r="LH49" s="45"/>
      <c r="LI49" s="45"/>
      <c r="LJ49" s="45"/>
      <c r="LK49" s="45"/>
      <c r="LL49" s="45"/>
      <c r="LM49" s="45"/>
      <c r="LN49" s="45"/>
      <c r="LO49" s="45"/>
      <c r="LP49" s="45"/>
      <c r="LQ49" s="45"/>
      <c r="LR49" s="45"/>
      <c r="LS49" s="45"/>
      <c r="LT49" s="45"/>
      <c r="LU49" s="45"/>
      <c r="LV49" s="45"/>
      <c r="LW49" s="45"/>
      <c r="LX49" s="45"/>
      <c r="LY49" s="45"/>
      <c r="LZ49" s="45"/>
      <c r="MA49" s="45"/>
      <c r="MB49" s="45"/>
      <c r="MC49" s="45"/>
      <c r="MD49" s="45"/>
      <c r="ME49" s="45"/>
      <c r="MF49" s="45"/>
      <c r="MG49" s="45"/>
      <c r="MH49" s="45"/>
      <c r="MI49" s="45"/>
      <c r="MJ49" s="45"/>
      <c r="MK49" s="45"/>
      <c r="ML49" s="45"/>
      <c r="MM49" s="45"/>
      <c r="MN49" s="45"/>
      <c r="MO49" s="45"/>
      <c r="MP49" s="45"/>
      <c r="MQ49" s="45"/>
      <c r="MR49" s="45"/>
      <c r="MS49" s="45"/>
      <c r="MT49" s="45"/>
      <c r="MU49" s="45"/>
      <c r="MV49" s="45"/>
      <c r="MW49" s="45"/>
      <c r="MX49" s="45"/>
      <c r="MY49" s="45"/>
      <c r="MZ49" s="45"/>
      <c r="NA49" s="45"/>
      <c r="NB49" s="45"/>
      <c r="NC49" s="45"/>
      <c r="ND49" s="45"/>
      <c r="NE49" s="45"/>
      <c r="NF49" s="45"/>
      <c r="NG49" s="45"/>
      <c r="NH49" s="45"/>
      <c r="NI49" s="45"/>
      <c r="NJ49" s="45"/>
    </row>
    <row r="50" spans="1:374" s="45" customFormat="1" ht="24.75" customHeight="1">
      <c r="A50" s="343" t="s">
        <v>52</v>
      </c>
      <c r="B50" s="344"/>
      <c r="C50" s="30">
        <f>C124+D124+E124</f>
        <v>0</v>
      </c>
      <c r="D50" s="30">
        <f>C125+D125+E125</f>
        <v>0</v>
      </c>
      <c r="E50" s="139">
        <f t="shared" si="19"/>
        <v>0</v>
      </c>
      <c r="F50" s="31">
        <f>F124+G124+H124</f>
        <v>0</v>
      </c>
      <c r="G50" s="31">
        <f>F125+G125+H125</f>
        <v>0</v>
      </c>
      <c r="H50" s="141">
        <f t="shared" si="8"/>
        <v>0</v>
      </c>
      <c r="I50" s="32">
        <f>I124+J124+K124</f>
        <v>0</v>
      </c>
      <c r="J50" s="32">
        <f>I125+J125+K125</f>
        <v>0</v>
      </c>
      <c r="K50" s="145">
        <f t="shared" si="10"/>
        <v>0</v>
      </c>
      <c r="L50" s="126">
        <f t="shared" si="12"/>
        <v>0</v>
      </c>
      <c r="M50" s="126">
        <f t="shared" si="12"/>
        <v>0</v>
      </c>
      <c r="N50" s="126">
        <f t="shared" si="13"/>
        <v>0</v>
      </c>
      <c r="O50" s="345"/>
      <c r="P50" s="346"/>
      <c r="Q50" s="346"/>
      <c r="R50" s="346"/>
      <c r="S50" s="347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S50" s="40" t="s">
        <v>189</v>
      </c>
      <c r="AT50" s="41" t="s">
        <v>197</v>
      </c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374" s="45" customFormat="1" ht="24.75" customHeight="1">
      <c r="A51" s="343" t="s">
        <v>53</v>
      </c>
      <c r="B51" s="344"/>
      <c r="C51" s="30">
        <v>0</v>
      </c>
      <c r="D51" s="30">
        <v>0</v>
      </c>
      <c r="E51" s="139">
        <f t="shared" si="19"/>
        <v>0</v>
      </c>
      <c r="F51" s="31">
        <v>6</v>
      </c>
      <c r="G51" s="31">
        <v>7</v>
      </c>
      <c r="H51" s="141">
        <f t="shared" si="8"/>
        <v>13</v>
      </c>
      <c r="I51" s="32">
        <v>75</v>
      </c>
      <c r="J51" s="32">
        <v>65</v>
      </c>
      <c r="K51" s="145">
        <f t="shared" si="10"/>
        <v>140</v>
      </c>
      <c r="L51" s="126">
        <f t="shared" si="12"/>
        <v>81</v>
      </c>
      <c r="M51" s="126">
        <f t="shared" si="12"/>
        <v>72</v>
      </c>
      <c r="N51" s="126">
        <f t="shared" si="13"/>
        <v>153</v>
      </c>
      <c r="O51" s="345"/>
      <c r="P51" s="346"/>
      <c r="Q51" s="346"/>
      <c r="R51" s="346"/>
      <c r="S51" s="347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S51" s="40" t="s">
        <v>189</v>
      </c>
      <c r="AT51" s="41" t="s">
        <v>198</v>
      </c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374" s="45" customFormat="1" ht="24.75" customHeight="1">
      <c r="A52" s="343" t="s">
        <v>54</v>
      </c>
      <c r="B52" s="344"/>
      <c r="C52" s="30">
        <f>C128+D128+E128</f>
        <v>0</v>
      </c>
      <c r="D52" s="30">
        <f>C129+D129+E129</f>
        <v>0</v>
      </c>
      <c r="E52" s="139">
        <f t="shared" si="19"/>
        <v>0</v>
      </c>
      <c r="F52" s="31">
        <f>F128+G128+H128</f>
        <v>1</v>
      </c>
      <c r="G52" s="31">
        <f>F129+G129+H129</f>
        <v>1</v>
      </c>
      <c r="H52" s="141">
        <f t="shared" si="8"/>
        <v>2</v>
      </c>
      <c r="I52" s="32">
        <f>I128+J128+K128</f>
        <v>0</v>
      </c>
      <c r="J52" s="32">
        <f>I129+J129+K129</f>
        <v>0</v>
      </c>
      <c r="K52" s="145">
        <f t="shared" si="10"/>
        <v>0</v>
      </c>
      <c r="L52" s="126">
        <f t="shared" si="12"/>
        <v>1</v>
      </c>
      <c r="M52" s="126">
        <f t="shared" si="12"/>
        <v>1</v>
      </c>
      <c r="N52" s="126">
        <f t="shared" si="13"/>
        <v>2</v>
      </c>
      <c r="O52" s="345"/>
      <c r="P52" s="346"/>
      <c r="Q52" s="346"/>
      <c r="R52" s="346"/>
      <c r="S52" s="347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S52" s="40" t="s">
        <v>189</v>
      </c>
      <c r="AT52" s="41" t="s">
        <v>199</v>
      </c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374" s="45" customFormat="1" ht="24.75" customHeight="1">
      <c r="A53" s="343" t="s">
        <v>930</v>
      </c>
      <c r="B53" s="344"/>
      <c r="C53" s="30">
        <f>C130+D130+E130</f>
        <v>0</v>
      </c>
      <c r="D53" s="30">
        <f>C131+D131+E131</f>
        <v>0</v>
      </c>
      <c r="E53" s="139">
        <f t="shared" si="19"/>
        <v>0</v>
      </c>
      <c r="F53" s="31">
        <f>F130+G130+H130</f>
        <v>0</v>
      </c>
      <c r="G53" s="31">
        <f>F131+G131+H131</f>
        <v>0</v>
      </c>
      <c r="H53" s="141">
        <f t="shared" si="8"/>
        <v>0</v>
      </c>
      <c r="I53" s="32">
        <f>I130+J130+K130</f>
        <v>0</v>
      </c>
      <c r="J53" s="32">
        <f>I131+J131+K131</f>
        <v>0</v>
      </c>
      <c r="K53" s="145">
        <f t="shared" si="10"/>
        <v>0</v>
      </c>
      <c r="L53" s="126">
        <f t="shared" si="12"/>
        <v>0</v>
      </c>
      <c r="M53" s="126">
        <f t="shared" si="12"/>
        <v>0</v>
      </c>
      <c r="N53" s="126">
        <f t="shared" si="13"/>
        <v>0</v>
      </c>
      <c r="O53" s="161"/>
      <c r="P53" s="161"/>
      <c r="Q53" s="161"/>
      <c r="R53" s="161"/>
      <c r="S53" s="162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S53" s="40"/>
      <c r="AT53" s="41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374" s="45" customFormat="1" ht="24.75" customHeight="1">
      <c r="A54" s="343" t="s">
        <v>932</v>
      </c>
      <c r="B54" s="344"/>
      <c r="C54" s="30">
        <f>C132+D132+E132</f>
        <v>0</v>
      </c>
      <c r="D54" s="30">
        <f>C133+D133+E133</f>
        <v>0</v>
      </c>
      <c r="E54" s="139">
        <f t="shared" si="19"/>
        <v>0</v>
      </c>
      <c r="F54" s="31">
        <f>F132+G132+H132</f>
        <v>0</v>
      </c>
      <c r="G54" s="31">
        <f>F133+G133+H133</f>
        <v>0</v>
      </c>
      <c r="H54" s="141">
        <f t="shared" si="8"/>
        <v>0</v>
      </c>
      <c r="I54" s="32">
        <f>I132+J132+K132</f>
        <v>0</v>
      </c>
      <c r="J54" s="32">
        <f>I133+J133+K133</f>
        <v>0</v>
      </c>
      <c r="K54" s="145">
        <f t="shared" si="10"/>
        <v>0</v>
      </c>
      <c r="L54" s="126">
        <f t="shared" si="12"/>
        <v>0</v>
      </c>
      <c r="M54" s="126">
        <f t="shared" si="12"/>
        <v>0</v>
      </c>
      <c r="N54" s="126">
        <f t="shared" si="13"/>
        <v>0</v>
      </c>
      <c r="O54" s="161"/>
      <c r="P54" s="161"/>
      <c r="Q54" s="161"/>
      <c r="R54" s="161"/>
      <c r="S54" s="162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S54" s="40"/>
      <c r="AT54" s="41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374" s="45" customFormat="1" ht="24.75" customHeight="1">
      <c r="A55" s="343" t="s">
        <v>931</v>
      </c>
      <c r="B55" s="344"/>
      <c r="C55" s="30">
        <f>C134+D134+E134</f>
        <v>0</v>
      </c>
      <c r="D55" s="30">
        <f>C135+D135+E135</f>
        <v>0</v>
      </c>
      <c r="E55" s="139">
        <f t="shared" si="19"/>
        <v>0</v>
      </c>
      <c r="F55" s="31">
        <f>F134+G134+H134</f>
        <v>0</v>
      </c>
      <c r="G55" s="31">
        <f>F135+G135+H135</f>
        <v>0</v>
      </c>
      <c r="H55" s="141">
        <f t="shared" si="8"/>
        <v>0</v>
      </c>
      <c r="I55" s="32">
        <f>I134+J134+K134</f>
        <v>0</v>
      </c>
      <c r="J55" s="32">
        <f>I135+J135+K135</f>
        <v>0</v>
      </c>
      <c r="K55" s="145">
        <f t="shared" si="10"/>
        <v>0</v>
      </c>
      <c r="L55" s="126">
        <f t="shared" si="12"/>
        <v>0</v>
      </c>
      <c r="M55" s="126">
        <f t="shared" si="12"/>
        <v>0</v>
      </c>
      <c r="N55" s="126">
        <f t="shared" si="13"/>
        <v>0</v>
      </c>
      <c r="O55" s="161"/>
      <c r="P55" s="161"/>
      <c r="Q55" s="161"/>
      <c r="R55" s="161"/>
      <c r="S55" s="162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S55" s="40"/>
      <c r="AT55" s="41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374" s="45" customFormat="1" ht="54" customHeight="1">
      <c r="A56" s="352" t="s">
        <v>136</v>
      </c>
      <c r="B56" s="353"/>
      <c r="C56" s="16">
        <f>SUM(C57:C65)</f>
        <v>2</v>
      </c>
      <c r="D56" s="16">
        <f>SUM(D57:D65)</f>
        <v>1</v>
      </c>
      <c r="E56" s="16">
        <f>SUM(C56:D56)</f>
        <v>3</v>
      </c>
      <c r="F56" s="16">
        <f t="shared" ref="F56:G56" si="20">SUM(F57:F65)</f>
        <v>1</v>
      </c>
      <c r="G56" s="16">
        <f t="shared" si="20"/>
        <v>1</v>
      </c>
      <c r="H56" s="16">
        <f t="shared" si="8"/>
        <v>2</v>
      </c>
      <c r="I56" s="16">
        <f>SUM(I57:I66)</f>
        <v>37</v>
      </c>
      <c r="J56" s="16">
        <f>SUM(J57:J66)</f>
        <v>33</v>
      </c>
      <c r="K56" s="16">
        <f t="shared" si="10"/>
        <v>70</v>
      </c>
      <c r="L56" s="16">
        <f t="shared" si="12"/>
        <v>40</v>
      </c>
      <c r="M56" s="16">
        <f t="shared" si="12"/>
        <v>35</v>
      </c>
      <c r="N56" s="16">
        <f t="shared" si="13"/>
        <v>75</v>
      </c>
      <c r="O56" s="340" t="s">
        <v>99</v>
      </c>
      <c r="P56" s="341"/>
      <c r="Q56" s="341"/>
      <c r="R56" s="341"/>
      <c r="S56" s="342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R56" s="38"/>
      <c r="AS56" s="40" t="s">
        <v>189</v>
      </c>
      <c r="AT56" s="41" t="s">
        <v>200</v>
      </c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374" s="45" customFormat="1" ht="24.75" customHeight="1">
      <c r="A57" s="354" t="s">
        <v>55</v>
      </c>
      <c r="B57" s="355"/>
      <c r="C57" s="30">
        <f>C136+D136+E136</f>
        <v>0</v>
      </c>
      <c r="D57" s="30">
        <f>C137+D137+E137</f>
        <v>0</v>
      </c>
      <c r="E57" s="139">
        <f>SUM(C57:D57)</f>
        <v>0</v>
      </c>
      <c r="F57" s="31">
        <v>0</v>
      </c>
      <c r="G57" s="31">
        <f>F137+G137+H137</f>
        <v>0</v>
      </c>
      <c r="H57" s="141">
        <f>SUM(F57:G57)</f>
        <v>0</v>
      </c>
      <c r="I57" s="32">
        <v>16</v>
      </c>
      <c r="J57" s="32">
        <v>23</v>
      </c>
      <c r="K57" s="145">
        <f>SUM(I57:J57)</f>
        <v>39</v>
      </c>
      <c r="L57" s="126">
        <f t="shared" si="12"/>
        <v>16</v>
      </c>
      <c r="M57" s="126">
        <f t="shared" si="12"/>
        <v>23</v>
      </c>
      <c r="N57" s="126">
        <f t="shared" si="13"/>
        <v>39</v>
      </c>
      <c r="O57" s="356"/>
      <c r="P57" s="357"/>
      <c r="Q57" s="357"/>
      <c r="R57" s="357"/>
      <c r="S57" s="357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R57" s="39"/>
      <c r="AS57" s="40" t="s">
        <v>189</v>
      </c>
      <c r="AT57" s="41" t="s">
        <v>201</v>
      </c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374" s="45" customFormat="1" ht="24.75" customHeight="1">
      <c r="A58" s="354" t="s">
        <v>56</v>
      </c>
      <c r="B58" s="355"/>
      <c r="C58" s="30">
        <f>C138+D138+E138</f>
        <v>0</v>
      </c>
      <c r="D58" s="30">
        <f>C139+D139+E139</f>
        <v>0</v>
      </c>
      <c r="E58" s="139">
        <f t="shared" ref="E58:E63" si="21">SUM(C58:D58)</f>
        <v>0</v>
      </c>
      <c r="F58" s="31">
        <v>0</v>
      </c>
      <c r="G58" s="31">
        <f>F139+G139+H139</f>
        <v>0</v>
      </c>
      <c r="H58" s="141">
        <f t="shared" ref="H58:H67" si="22">SUM(F58:G58)</f>
        <v>0</v>
      </c>
      <c r="I58" s="32">
        <f>I138+J138+K138</f>
        <v>0</v>
      </c>
      <c r="J58" s="32">
        <f>I139+J139+K139</f>
        <v>0</v>
      </c>
      <c r="K58" s="145">
        <f t="shared" ref="K58:K75" si="23">SUM(I58:J58)</f>
        <v>0</v>
      </c>
      <c r="L58" s="126">
        <f t="shared" si="12"/>
        <v>0</v>
      </c>
      <c r="M58" s="126">
        <f t="shared" si="12"/>
        <v>0</v>
      </c>
      <c r="N58" s="126">
        <f t="shared" si="13"/>
        <v>0</v>
      </c>
      <c r="O58" s="356"/>
      <c r="P58" s="357"/>
      <c r="Q58" s="357"/>
      <c r="R58" s="357"/>
      <c r="S58" s="357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R58" s="39"/>
      <c r="AS58" s="40" t="s">
        <v>189</v>
      </c>
      <c r="AT58" s="41" t="s">
        <v>202</v>
      </c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374" s="48" customFormat="1" ht="24.75" customHeight="1">
      <c r="A59" s="354" t="s">
        <v>57</v>
      </c>
      <c r="B59" s="355"/>
      <c r="C59" s="30">
        <f>C140+D140+E140</f>
        <v>0</v>
      </c>
      <c r="D59" s="30">
        <f>C141+D141+E141</f>
        <v>0</v>
      </c>
      <c r="E59" s="139">
        <f t="shared" si="21"/>
        <v>0</v>
      </c>
      <c r="F59" s="31">
        <f>F140+G140+H140</f>
        <v>0</v>
      </c>
      <c r="G59" s="31">
        <f>F141+G141+H141</f>
        <v>0</v>
      </c>
      <c r="H59" s="141">
        <f t="shared" si="22"/>
        <v>0</v>
      </c>
      <c r="I59" s="32">
        <f>I140+J140+K140</f>
        <v>0</v>
      </c>
      <c r="J59" s="32">
        <f>I141+J141+K141</f>
        <v>0</v>
      </c>
      <c r="K59" s="145">
        <f t="shared" si="23"/>
        <v>0</v>
      </c>
      <c r="L59" s="126">
        <f t="shared" si="12"/>
        <v>0</v>
      </c>
      <c r="M59" s="126">
        <f t="shared" si="12"/>
        <v>0</v>
      </c>
      <c r="N59" s="126">
        <f t="shared" si="13"/>
        <v>0</v>
      </c>
      <c r="O59" s="356"/>
      <c r="P59" s="357"/>
      <c r="Q59" s="357"/>
      <c r="R59" s="357"/>
      <c r="S59" s="357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45"/>
      <c r="AQ59" s="45"/>
      <c r="AR59" s="39"/>
      <c r="AS59" s="40" t="s">
        <v>189</v>
      </c>
      <c r="AT59" s="41" t="s">
        <v>203</v>
      </c>
      <c r="AU59" s="38"/>
      <c r="AV59" s="38"/>
      <c r="AW59" s="38"/>
      <c r="AX59" s="38"/>
      <c r="AY59" s="38"/>
      <c r="AZ59" s="38"/>
      <c r="BA59" s="38"/>
      <c r="BB59" s="38"/>
      <c r="BC59" s="38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  <c r="MV59" s="45"/>
      <c r="MW59" s="45"/>
      <c r="MX59" s="45"/>
      <c r="MY59" s="45"/>
      <c r="MZ59" s="45"/>
      <c r="NA59" s="45"/>
      <c r="NB59" s="45"/>
      <c r="NC59" s="45"/>
      <c r="ND59" s="45"/>
      <c r="NE59" s="45"/>
      <c r="NF59" s="45"/>
      <c r="NG59" s="45"/>
      <c r="NH59" s="45"/>
      <c r="NI59" s="45"/>
      <c r="NJ59" s="45"/>
    </row>
    <row r="60" spans="1:374" s="45" customFormat="1" ht="24.75" customHeight="1">
      <c r="A60" s="354" t="s">
        <v>58</v>
      </c>
      <c r="B60" s="355"/>
      <c r="C60" s="30">
        <v>0</v>
      </c>
      <c r="D60" s="30">
        <f>C143+D143+E143</f>
        <v>0</v>
      </c>
      <c r="E60" s="139">
        <f t="shared" si="21"/>
        <v>0</v>
      </c>
      <c r="F60" s="31">
        <f>F142+G142+H142</f>
        <v>0</v>
      </c>
      <c r="G60" s="31">
        <f>F143+G143+H143</f>
        <v>1</v>
      </c>
      <c r="H60" s="141">
        <f t="shared" si="22"/>
        <v>1</v>
      </c>
      <c r="I60" s="32">
        <f>I142+J142+K142</f>
        <v>0</v>
      </c>
      <c r="J60" s="32">
        <f>I143+J143+K143</f>
        <v>0</v>
      </c>
      <c r="K60" s="145">
        <f t="shared" si="23"/>
        <v>0</v>
      </c>
      <c r="L60" s="126">
        <f t="shared" si="12"/>
        <v>0</v>
      </c>
      <c r="M60" s="126">
        <f t="shared" si="12"/>
        <v>1</v>
      </c>
      <c r="N60" s="126">
        <f t="shared" si="13"/>
        <v>1</v>
      </c>
      <c r="O60" s="356"/>
      <c r="P60" s="357"/>
      <c r="Q60" s="357"/>
      <c r="R60" s="357"/>
      <c r="S60" s="357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R60" s="39"/>
      <c r="AS60" s="40" t="s">
        <v>189</v>
      </c>
      <c r="AT60" s="41" t="s">
        <v>204</v>
      </c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374" s="45" customFormat="1" ht="24.75" customHeight="1">
      <c r="A61" s="354" t="s">
        <v>59</v>
      </c>
      <c r="B61" s="355"/>
      <c r="C61" s="30">
        <f>C144+D144+E144</f>
        <v>0</v>
      </c>
      <c r="D61" s="30">
        <f>C145+D145+E145</f>
        <v>0</v>
      </c>
      <c r="E61" s="139">
        <f t="shared" si="21"/>
        <v>0</v>
      </c>
      <c r="F61" s="31">
        <f>F144+G144+H144</f>
        <v>0</v>
      </c>
      <c r="G61" s="31">
        <f>F145+G145+H145</f>
        <v>0</v>
      </c>
      <c r="H61" s="141">
        <f t="shared" si="22"/>
        <v>0</v>
      </c>
      <c r="I61" s="32">
        <f>I144+J144+K144</f>
        <v>0</v>
      </c>
      <c r="J61" s="32">
        <f>I145+J145+K145</f>
        <v>0</v>
      </c>
      <c r="K61" s="145">
        <f t="shared" si="23"/>
        <v>0</v>
      </c>
      <c r="L61" s="126">
        <f t="shared" si="12"/>
        <v>0</v>
      </c>
      <c r="M61" s="126">
        <f t="shared" si="12"/>
        <v>0</v>
      </c>
      <c r="N61" s="126">
        <f t="shared" si="13"/>
        <v>0</v>
      </c>
      <c r="O61" s="356"/>
      <c r="P61" s="357"/>
      <c r="Q61" s="357"/>
      <c r="R61" s="357"/>
      <c r="S61" s="357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R61" s="39"/>
      <c r="AS61" s="40" t="s">
        <v>189</v>
      </c>
      <c r="AT61" s="41" t="s">
        <v>205</v>
      </c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374" s="45" customFormat="1" ht="24.75" customHeight="1">
      <c r="A62" s="354" t="s">
        <v>60</v>
      </c>
      <c r="B62" s="355"/>
      <c r="C62" s="30">
        <v>2</v>
      </c>
      <c r="D62" s="30">
        <v>1</v>
      </c>
      <c r="E62" s="139">
        <f t="shared" si="21"/>
        <v>3</v>
      </c>
      <c r="F62" s="31">
        <v>1</v>
      </c>
      <c r="G62" s="31">
        <v>0</v>
      </c>
      <c r="H62" s="141">
        <f t="shared" si="22"/>
        <v>1</v>
      </c>
      <c r="I62" s="32">
        <v>11</v>
      </c>
      <c r="J62" s="32">
        <v>3</v>
      </c>
      <c r="K62" s="145">
        <f t="shared" si="23"/>
        <v>14</v>
      </c>
      <c r="L62" s="126">
        <f t="shared" si="12"/>
        <v>14</v>
      </c>
      <c r="M62" s="126">
        <f t="shared" si="12"/>
        <v>4</v>
      </c>
      <c r="N62" s="126">
        <f t="shared" si="13"/>
        <v>18</v>
      </c>
      <c r="O62" s="356"/>
      <c r="P62" s="357"/>
      <c r="Q62" s="357"/>
      <c r="R62" s="357"/>
      <c r="S62" s="357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R62" s="39"/>
      <c r="AS62" s="40" t="s">
        <v>189</v>
      </c>
      <c r="AT62" s="41" t="s">
        <v>206</v>
      </c>
      <c r="AU62" s="38"/>
      <c r="AV62" s="38"/>
      <c r="AW62" s="38"/>
      <c r="AX62" s="38"/>
      <c r="AY62" s="38"/>
      <c r="AZ62" s="38"/>
      <c r="BA62" s="38"/>
      <c r="BB62" s="38"/>
      <c r="BC62" s="38"/>
    </row>
    <row r="63" spans="1:374" s="45" customFormat="1" ht="24.75" customHeight="1">
      <c r="A63" s="354" t="s">
        <v>61</v>
      </c>
      <c r="B63" s="355"/>
      <c r="C63" s="30">
        <f>C148+D148+E148</f>
        <v>0</v>
      </c>
      <c r="D63" s="30">
        <f>C149+D149+E149</f>
        <v>0</v>
      </c>
      <c r="E63" s="139">
        <f t="shared" si="21"/>
        <v>0</v>
      </c>
      <c r="F63" s="31">
        <f>F148+G148+H148</f>
        <v>0</v>
      </c>
      <c r="G63" s="31">
        <f>F149+G149+H149</f>
        <v>0</v>
      </c>
      <c r="H63" s="141">
        <f t="shared" si="22"/>
        <v>0</v>
      </c>
      <c r="I63" s="32">
        <f>I148+J148+K148</f>
        <v>0</v>
      </c>
      <c r="J63" s="32">
        <f>I149+J149+K149</f>
        <v>0</v>
      </c>
      <c r="K63" s="145">
        <f t="shared" si="23"/>
        <v>0</v>
      </c>
      <c r="L63" s="126">
        <f t="shared" si="12"/>
        <v>0</v>
      </c>
      <c r="M63" s="126">
        <f t="shared" si="12"/>
        <v>0</v>
      </c>
      <c r="N63" s="126">
        <f t="shared" si="13"/>
        <v>0</v>
      </c>
      <c r="O63" s="356"/>
      <c r="P63" s="357"/>
      <c r="Q63" s="357"/>
      <c r="R63" s="357"/>
      <c r="S63" s="357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R63" s="39"/>
      <c r="AS63" s="40" t="s">
        <v>189</v>
      </c>
      <c r="AT63" s="41" t="s">
        <v>207</v>
      </c>
      <c r="AU63" s="38"/>
      <c r="AV63" s="38"/>
      <c r="AW63" s="38"/>
      <c r="AX63" s="38"/>
      <c r="AY63" s="38"/>
      <c r="AZ63" s="38"/>
      <c r="BA63" s="38"/>
      <c r="BB63" s="38"/>
      <c r="BC63" s="38"/>
    </row>
    <row r="64" spans="1:374" s="45" customFormat="1" ht="24.75" customHeight="1">
      <c r="A64" s="354" t="s">
        <v>62</v>
      </c>
      <c r="B64" s="355"/>
      <c r="C64" s="129"/>
      <c r="D64" s="129"/>
      <c r="E64" s="5"/>
      <c r="F64" s="5"/>
      <c r="G64" s="5"/>
      <c r="H64" s="17"/>
      <c r="I64" s="32">
        <v>2</v>
      </c>
      <c r="J64" s="32">
        <v>1</v>
      </c>
      <c r="K64" s="145">
        <f t="shared" si="23"/>
        <v>3</v>
      </c>
      <c r="L64" s="126">
        <f t="shared" si="12"/>
        <v>2</v>
      </c>
      <c r="M64" s="126">
        <f t="shared" si="12"/>
        <v>1</v>
      </c>
      <c r="N64" s="126">
        <f t="shared" si="13"/>
        <v>3</v>
      </c>
      <c r="O64" s="356"/>
      <c r="P64" s="357"/>
      <c r="Q64" s="357"/>
      <c r="R64" s="357"/>
      <c r="S64" s="357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R64" s="39"/>
      <c r="AS64" s="40" t="s">
        <v>189</v>
      </c>
      <c r="AT64" s="41" t="s">
        <v>208</v>
      </c>
      <c r="AU64" s="38"/>
      <c r="AV64" s="38"/>
      <c r="AW64" s="38"/>
      <c r="AX64" s="38"/>
      <c r="AY64" s="38"/>
      <c r="AZ64" s="38"/>
      <c r="BA64" s="38"/>
      <c r="BB64" s="38"/>
      <c r="BC64" s="38"/>
    </row>
    <row r="65" spans="1:374" s="45" customFormat="1" ht="24.75" customHeight="1">
      <c r="A65" s="354" t="s">
        <v>63</v>
      </c>
      <c r="B65" s="355"/>
      <c r="C65" s="129"/>
      <c r="D65" s="129"/>
      <c r="E65" s="5"/>
      <c r="F65" s="7"/>
      <c r="G65" s="22"/>
      <c r="H65" s="20"/>
      <c r="I65" s="32">
        <f>I152+J152+K152</f>
        <v>0</v>
      </c>
      <c r="J65" s="32">
        <f>I153+J153+K153</f>
        <v>0</v>
      </c>
      <c r="K65" s="145">
        <f t="shared" si="23"/>
        <v>0</v>
      </c>
      <c r="L65" s="126">
        <f t="shared" si="12"/>
        <v>0</v>
      </c>
      <c r="M65" s="126">
        <f t="shared" si="12"/>
        <v>0</v>
      </c>
      <c r="N65" s="126">
        <f t="shared" si="13"/>
        <v>0</v>
      </c>
      <c r="O65" s="356"/>
      <c r="P65" s="357"/>
      <c r="Q65" s="357"/>
      <c r="R65" s="357"/>
      <c r="S65" s="357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R65" s="39"/>
      <c r="AS65" s="40" t="s">
        <v>189</v>
      </c>
      <c r="AT65" s="41" t="s">
        <v>209</v>
      </c>
      <c r="AU65" s="38"/>
      <c r="AV65" s="38"/>
      <c r="AW65" s="38"/>
      <c r="AX65" s="38"/>
      <c r="AY65" s="38"/>
      <c r="AZ65" s="38"/>
      <c r="BA65" s="38"/>
      <c r="BB65" s="38"/>
      <c r="BC65" s="38"/>
    </row>
    <row r="66" spans="1:374" s="45" customFormat="1" ht="24.75" customHeight="1">
      <c r="A66" s="354" t="s">
        <v>64</v>
      </c>
      <c r="B66" s="355"/>
      <c r="C66" s="130"/>
      <c r="D66" s="130"/>
      <c r="E66" s="131"/>
      <c r="F66" s="132"/>
      <c r="G66" s="132"/>
      <c r="H66" s="131"/>
      <c r="I66" s="32">
        <v>8</v>
      </c>
      <c r="J66" s="32">
        <v>6</v>
      </c>
      <c r="K66" s="145">
        <f t="shared" si="23"/>
        <v>14</v>
      </c>
      <c r="L66" s="126">
        <f t="shared" si="12"/>
        <v>8</v>
      </c>
      <c r="M66" s="126">
        <f t="shared" si="12"/>
        <v>6</v>
      </c>
      <c r="N66" s="126">
        <f t="shared" si="13"/>
        <v>14</v>
      </c>
      <c r="O66" s="356"/>
      <c r="P66" s="357"/>
      <c r="Q66" s="357"/>
      <c r="R66" s="357"/>
      <c r="S66" s="357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R66" s="39"/>
      <c r="AS66" s="40" t="s">
        <v>189</v>
      </c>
      <c r="AT66" s="41" t="s">
        <v>210</v>
      </c>
      <c r="AU66" s="38"/>
      <c r="AV66" s="38"/>
      <c r="AW66" s="38"/>
      <c r="AX66" s="38"/>
      <c r="AY66" s="38"/>
      <c r="AZ66" s="38"/>
      <c r="BA66" s="38"/>
      <c r="BB66" s="38"/>
      <c r="BC66" s="38"/>
    </row>
    <row r="67" spans="1:374" s="45" customFormat="1" ht="21" customHeight="1">
      <c r="A67" s="358" t="s">
        <v>65</v>
      </c>
      <c r="B67" s="359"/>
      <c r="C67" s="15">
        <f>SUM(C68:C75)</f>
        <v>0</v>
      </c>
      <c r="D67" s="15">
        <f>SUM(D68:D75)</f>
        <v>0</v>
      </c>
      <c r="E67" s="15">
        <f>SUM(C67:D67)</f>
        <v>0</v>
      </c>
      <c r="F67" s="15">
        <f t="shared" ref="F67:G67" si="24">SUM(F68:F75)</f>
        <v>0</v>
      </c>
      <c r="G67" s="15">
        <f t="shared" si="24"/>
        <v>0</v>
      </c>
      <c r="H67" s="15">
        <f t="shared" si="22"/>
        <v>0</v>
      </c>
      <c r="I67" s="15">
        <f t="shared" ref="I67:J67" si="25">SUM(I68:I75)</f>
        <v>0</v>
      </c>
      <c r="J67" s="15">
        <f t="shared" si="25"/>
        <v>3</v>
      </c>
      <c r="K67" s="15">
        <f t="shared" si="23"/>
        <v>3</v>
      </c>
      <c r="L67" s="16">
        <f t="shared" si="12"/>
        <v>0</v>
      </c>
      <c r="M67" s="16">
        <f t="shared" si="12"/>
        <v>3</v>
      </c>
      <c r="N67" s="16">
        <f t="shared" si="13"/>
        <v>3</v>
      </c>
      <c r="O67" s="340" t="s">
        <v>100</v>
      </c>
      <c r="P67" s="341"/>
      <c r="Q67" s="341"/>
      <c r="R67" s="341"/>
      <c r="S67" s="342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R67" s="39"/>
      <c r="AS67" s="40" t="s">
        <v>189</v>
      </c>
      <c r="AT67" s="41" t="s">
        <v>211</v>
      </c>
      <c r="AU67" s="38"/>
      <c r="AV67" s="38"/>
      <c r="AW67" s="38"/>
      <c r="AX67" s="38"/>
      <c r="AY67" s="38"/>
      <c r="AZ67" s="38"/>
      <c r="BA67" s="38"/>
      <c r="BB67" s="38"/>
      <c r="BC67" s="38"/>
    </row>
    <row r="68" spans="1:374" s="45" customFormat="1" ht="25.5" customHeight="1">
      <c r="A68" s="360" t="s">
        <v>66</v>
      </c>
      <c r="B68" s="361"/>
      <c r="C68" s="7"/>
      <c r="D68" s="7"/>
      <c r="E68" s="6"/>
      <c r="F68" s="7"/>
      <c r="G68" s="3"/>
      <c r="H68" s="3"/>
      <c r="I68" s="32">
        <f>I156+J156+K156</f>
        <v>0</v>
      </c>
      <c r="J68" s="32">
        <f>I157+J157+K157</f>
        <v>0</v>
      </c>
      <c r="K68" s="145">
        <f t="shared" si="23"/>
        <v>0</v>
      </c>
      <c r="L68" s="126">
        <f t="shared" si="12"/>
        <v>0</v>
      </c>
      <c r="M68" s="126">
        <f t="shared" si="12"/>
        <v>0</v>
      </c>
      <c r="N68" s="126">
        <f t="shared" si="13"/>
        <v>0</v>
      </c>
      <c r="O68" s="362"/>
      <c r="P68" s="363"/>
      <c r="Q68" s="363"/>
      <c r="R68" s="363"/>
      <c r="S68" s="363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R68" s="39"/>
      <c r="AS68" s="40" t="s">
        <v>189</v>
      </c>
      <c r="AT68" s="41" t="s">
        <v>212</v>
      </c>
      <c r="AU68" s="38"/>
      <c r="AV68" s="38"/>
      <c r="AW68" s="38"/>
      <c r="AX68" s="38"/>
      <c r="AY68" s="38"/>
      <c r="AZ68" s="38"/>
      <c r="BA68" s="38"/>
      <c r="BB68" s="38"/>
      <c r="BC68" s="38"/>
    </row>
    <row r="69" spans="1:374" s="45" customFormat="1" ht="24" customHeight="1">
      <c r="A69" s="360" t="s">
        <v>67</v>
      </c>
      <c r="B69" s="361"/>
      <c r="C69" s="7"/>
      <c r="D69" s="7"/>
      <c r="E69" s="6"/>
      <c r="F69" s="7"/>
      <c r="G69" s="3"/>
      <c r="H69" s="3"/>
      <c r="I69" s="32">
        <f>I158+J158+K158</f>
        <v>0</v>
      </c>
      <c r="J69" s="32">
        <f>I159+J159+K159</f>
        <v>0</v>
      </c>
      <c r="K69" s="145">
        <f t="shared" si="23"/>
        <v>0</v>
      </c>
      <c r="L69" s="126">
        <f t="shared" si="12"/>
        <v>0</v>
      </c>
      <c r="M69" s="126">
        <f t="shared" si="12"/>
        <v>0</v>
      </c>
      <c r="N69" s="126">
        <f t="shared" si="13"/>
        <v>0</v>
      </c>
      <c r="O69" s="362"/>
      <c r="P69" s="363"/>
      <c r="Q69" s="363"/>
      <c r="R69" s="363"/>
      <c r="S69" s="363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R69" s="39"/>
      <c r="AS69" s="40" t="s">
        <v>189</v>
      </c>
      <c r="AT69" s="41" t="s">
        <v>213</v>
      </c>
      <c r="AU69" s="38"/>
      <c r="AV69" s="38"/>
      <c r="AW69" s="38"/>
      <c r="AX69" s="38"/>
      <c r="AY69" s="38"/>
      <c r="AZ69" s="38"/>
      <c r="BA69" s="38"/>
      <c r="BB69" s="38"/>
      <c r="BC69" s="38"/>
    </row>
    <row r="70" spans="1:374" s="48" customFormat="1" ht="23.25" customHeight="1">
      <c r="A70" s="360" t="s">
        <v>68</v>
      </c>
      <c r="B70" s="361"/>
      <c r="C70" s="7"/>
      <c r="D70" s="7"/>
      <c r="E70" s="6"/>
      <c r="F70" s="7"/>
      <c r="G70" s="3"/>
      <c r="H70" s="3"/>
      <c r="I70" s="32">
        <f>I160+J160+K160</f>
        <v>0</v>
      </c>
      <c r="J70" s="32">
        <f>I161+J161+K161</f>
        <v>0</v>
      </c>
      <c r="K70" s="145">
        <f t="shared" si="23"/>
        <v>0</v>
      </c>
      <c r="L70" s="126">
        <f t="shared" si="12"/>
        <v>0</v>
      </c>
      <c r="M70" s="126">
        <f t="shared" si="12"/>
        <v>0</v>
      </c>
      <c r="N70" s="126">
        <f t="shared" si="13"/>
        <v>0</v>
      </c>
      <c r="O70" s="362"/>
      <c r="P70" s="363"/>
      <c r="Q70" s="363"/>
      <c r="R70" s="363"/>
      <c r="S70" s="363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45"/>
      <c r="AQ70" s="45"/>
      <c r="AR70" s="39"/>
      <c r="AS70" s="40" t="s">
        <v>189</v>
      </c>
      <c r="AT70" s="41" t="s">
        <v>214</v>
      </c>
      <c r="AU70" s="38"/>
      <c r="AV70" s="38"/>
      <c r="AW70" s="38"/>
      <c r="AX70" s="38"/>
      <c r="AY70" s="38"/>
      <c r="AZ70" s="38"/>
      <c r="BA70" s="38"/>
      <c r="BB70" s="38"/>
      <c r="BC70" s="38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  <c r="GO70" s="45"/>
      <c r="GP70" s="45"/>
      <c r="GQ70" s="45"/>
      <c r="GR70" s="45"/>
      <c r="GS70" s="45"/>
      <c r="GT70" s="45"/>
      <c r="GU70" s="45"/>
      <c r="GV70" s="45"/>
      <c r="GW70" s="45"/>
      <c r="GX70" s="45"/>
      <c r="GY70" s="45"/>
      <c r="GZ70" s="45"/>
      <c r="HA70" s="45"/>
      <c r="HB70" s="45"/>
      <c r="HC70" s="45"/>
      <c r="HD70" s="45"/>
      <c r="HE70" s="45"/>
      <c r="HF70" s="45"/>
      <c r="HG70" s="45"/>
      <c r="HH70" s="45"/>
      <c r="HI70" s="45"/>
      <c r="HJ70" s="45"/>
      <c r="HK70" s="45"/>
      <c r="HL70" s="45"/>
      <c r="HM70" s="45"/>
      <c r="HN70" s="45"/>
      <c r="HO70" s="45"/>
      <c r="HP70" s="45"/>
      <c r="HQ70" s="45"/>
      <c r="HR70" s="45"/>
      <c r="HS70" s="45"/>
      <c r="HT70" s="45"/>
      <c r="HU70" s="45"/>
      <c r="HV70" s="45"/>
      <c r="HW70" s="45"/>
      <c r="HX70" s="45"/>
      <c r="HY70" s="45"/>
      <c r="HZ70" s="45"/>
      <c r="IA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  <c r="IR70" s="45"/>
      <c r="IS70" s="45"/>
      <c r="IT70" s="45"/>
      <c r="IU70" s="45"/>
      <c r="IV70" s="45"/>
      <c r="IW70" s="45"/>
      <c r="IX70" s="45"/>
      <c r="IY70" s="45"/>
      <c r="IZ70" s="45"/>
      <c r="JA70" s="45"/>
      <c r="JB70" s="45"/>
      <c r="JC70" s="45"/>
      <c r="JD70" s="45"/>
      <c r="JE70" s="45"/>
      <c r="JF70" s="45"/>
      <c r="JG70" s="45"/>
      <c r="JH70" s="45"/>
      <c r="JI70" s="45"/>
      <c r="JJ70" s="45"/>
      <c r="JK70" s="45"/>
      <c r="JL70" s="45"/>
      <c r="JM70" s="45"/>
      <c r="JN70" s="45"/>
      <c r="JO70" s="45"/>
      <c r="JP70" s="45"/>
      <c r="JQ70" s="45"/>
      <c r="JR70" s="45"/>
      <c r="JS70" s="45"/>
      <c r="JT70" s="45"/>
      <c r="JU70" s="45"/>
      <c r="JV70" s="45"/>
      <c r="JW70" s="45"/>
      <c r="JX70" s="45"/>
      <c r="JY70" s="45"/>
      <c r="JZ70" s="45"/>
      <c r="KA70" s="45"/>
      <c r="KB70" s="45"/>
      <c r="KC70" s="45"/>
      <c r="KD70" s="45"/>
      <c r="KE70" s="45"/>
      <c r="KF70" s="45"/>
      <c r="KG70" s="45"/>
      <c r="KH70" s="45"/>
      <c r="KI70" s="45"/>
      <c r="KJ70" s="45"/>
      <c r="KK70" s="45"/>
      <c r="KL70" s="45"/>
      <c r="KM70" s="45"/>
      <c r="KN70" s="45"/>
      <c r="KO70" s="45"/>
      <c r="KP70" s="45"/>
      <c r="KQ70" s="45"/>
      <c r="KR70" s="45"/>
      <c r="KS70" s="45"/>
      <c r="KT70" s="45"/>
      <c r="KU70" s="45"/>
      <c r="KV70" s="45"/>
      <c r="KW70" s="45"/>
      <c r="KX70" s="45"/>
      <c r="KY70" s="45"/>
      <c r="KZ70" s="45"/>
      <c r="LA70" s="45"/>
      <c r="LB70" s="45"/>
      <c r="LC70" s="45"/>
      <c r="LD70" s="45"/>
      <c r="LE70" s="45"/>
      <c r="LF70" s="45"/>
      <c r="LG70" s="45"/>
      <c r="LH70" s="45"/>
      <c r="LI70" s="45"/>
      <c r="LJ70" s="45"/>
      <c r="LK70" s="45"/>
      <c r="LL70" s="45"/>
      <c r="LM70" s="45"/>
      <c r="LN70" s="45"/>
      <c r="LO70" s="45"/>
      <c r="LP70" s="45"/>
      <c r="LQ70" s="45"/>
      <c r="LR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  <c r="MI70" s="45"/>
      <c r="MJ70" s="45"/>
      <c r="MK70" s="45"/>
      <c r="ML70" s="45"/>
      <c r="MM70" s="45"/>
      <c r="MN70" s="45"/>
      <c r="MO70" s="45"/>
      <c r="MP70" s="45"/>
      <c r="MQ70" s="45"/>
      <c r="MR70" s="45"/>
      <c r="MS70" s="45"/>
      <c r="MT70" s="45"/>
      <c r="MU70" s="45"/>
      <c r="MV70" s="45"/>
      <c r="MW70" s="45"/>
      <c r="MX70" s="45"/>
      <c r="MY70" s="45"/>
      <c r="MZ70" s="45"/>
      <c r="NA70" s="45"/>
      <c r="NB70" s="45"/>
      <c r="NC70" s="45"/>
      <c r="ND70" s="45"/>
      <c r="NE70" s="45"/>
      <c r="NF70" s="45"/>
      <c r="NG70" s="45"/>
      <c r="NH70" s="45"/>
      <c r="NI70" s="45"/>
      <c r="NJ70" s="45"/>
    </row>
    <row r="71" spans="1:374" s="45" customFormat="1" ht="30" customHeight="1">
      <c r="A71" s="360" t="s">
        <v>69</v>
      </c>
      <c r="B71" s="361"/>
      <c r="C71" s="7"/>
      <c r="D71" s="7"/>
      <c r="E71" s="6"/>
      <c r="F71" s="7"/>
      <c r="G71" s="3"/>
      <c r="H71" s="3"/>
      <c r="I71" s="32">
        <f>I162+J162+K162</f>
        <v>0</v>
      </c>
      <c r="J71" s="32">
        <f>I163+J163+K163</f>
        <v>0</v>
      </c>
      <c r="K71" s="145">
        <f t="shared" si="23"/>
        <v>0</v>
      </c>
      <c r="L71" s="126">
        <f t="shared" si="12"/>
        <v>0</v>
      </c>
      <c r="M71" s="126">
        <f t="shared" si="12"/>
        <v>0</v>
      </c>
      <c r="N71" s="126">
        <f t="shared" si="13"/>
        <v>0</v>
      </c>
      <c r="O71" s="362"/>
      <c r="P71" s="363"/>
      <c r="Q71" s="363"/>
      <c r="R71" s="363"/>
      <c r="S71" s="363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R71" s="39"/>
      <c r="AS71" s="40" t="s">
        <v>189</v>
      </c>
      <c r="AT71" s="41" t="s">
        <v>215</v>
      </c>
      <c r="AU71" s="38"/>
      <c r="AV71" s="38"/>
      <c r="AW71" s="38"/>
      <c r="AX71" s="38"/>
      <c r="AY71" s="38"/>
      <c r="AZ71" s="38"/>
      <c r="BA71" s="38"/>
      <c r="BB71" s="38"/>
      <c r="BC71" s="38"/>
    </row>
    <row r="72" spans="1:374" s="45" customFormat="1" ht="24" customHeight="1">
      <c r="A72" s="360" t="s">
        <v>70</v>
      </c>
      <c r="B72" s="361"/>
      <c r="C72" s="7"/>
      <c r="D72" s="7"/>
      <c r="E72" s="6"/>
      <c r="F72" s="7"/>
      <c r="G72" s="3"/>
      <c r="H72" s="3"/>
      <c r="I72" s="32">
        <f>I164+J164+K164</f>
        <v>0</v>
      </c>
      <c r="J72" s="32">
        <v>3</v>
      </c>
      <c r="K72" s="145">
        <f t="shared" si="23"/>
        <v>3</v>
      </c>
      <c r="L72" s="126">
        <f t="shared" si="12"/>
        <v>0</v>
      </c>
      <c r="M72" s="126">
        <f t="shared" si="12"/>
        <v>3</v>
      </c>
      <c r="N72" s="126">
        <f t="shared" si="13"/>
        <v>3</v>
      </c>
      <c r="O72" s="362"/>
      <c r="P72" s="363"/>
      <c r="Q72" s="363"/>
      <c r="R72" s="363"/>
      <c r="S72" s="363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R72" s="39"/>
      <c r="AS72" s="40" t="s">
        <v>189</v>
      </c>
      <c r="AT72" s="41" t="s">
        <v>216</v>
      </c>
      <c r="AU72" s="38"/>
      <c r="AV72" s="38"/>
      <c r="AW72" s="38"/>
      <c r="AX72" s="38"/>
      <c r="AY72" s="38"/>
      <c r="AZ72" s="38"/>
      <c r="BA72" s="38"/>
      <c r="BB72" s="38"/>
      <c r="BC72" s="38"/>
    </row>
    <row r="73" spans="1:374" s="45" customFormat="1" ht="28.5" customHeight="1">
      <c r="A73" s="360" t="s">
        <v>71</v>
      </c>
      <c r="B73" s="361"/>
      <c r="C73" s="7"/>
      <c r="D73" s="7"/>
      <c r="E73" s="6"/>
      <c r="F73" s="7"/>
      <c r="G73" s="3"/>
      <c r="H73" s="3"/>
      <c r="I73" s="32">
        <f>I166+J166+K166</f>
        <v>0</v>
      </c>
      <c r="J73" s="32">
        <f>I167+J167+K167</f>
        <v>0</v>
      </c>
      <c r="K73" s="145">
        <f t="shared" si="23"/>
        <v>0</v>
      </c>
      <c r="L73" s="126">
        <f t="shared" si="12"/>
        <v>0</v>
      </c>
      <c r="M73" s="126">
        <f t="shared" si="12"/>
        <v>0</v>
      </c>
      <c r="N73" s="126">
        <f t="shared" si="13"/>
        <v>0</v>
      </c>
      <c r="O73" s="362"/>
      <c r="P73" s="363"/>
      <c r="Q73" s="363"/>
      <c r="R73" s="363"/>
      <c r="S73" s="363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R73" s="39"/>
      <c r="AS73" s="40" t="s">
        <v>189</v>
      </c>
      <c r="AT73" s="41" t="s">
        <v>217</v>
      </c>
      <c r="AU73" s="38"/>
      <c r="AV73" s="38"/>
      <c r="AW73" s="38"/>
      <c r="AX73" s="38"/>
      <c r="AY73" s="38"/>
      <c r="AZ73" s="38"/>
      <c r="BA73" s="38"/>
      <c r="BB73" s="38"/>
      <c r="BC73" s="38"/>
    </row>
    <row r="74" spans="1:374" s="45" customFormat="1" ht="36.75" customHeight="1">
      <c r="A74" s="360" t="s">
        <v>72</v>
      </c>
      <c r="B74" s="361"/>
      <c r="C74" s="7"/>
      <c r="D74" s="7"/>
      <c r="E74" s="6"/>
      <c r="F74" s="7"/>
      <c r="G74" s="3"/>
      <c r="H74" s="3"/>
      <c r="I74" s="32">
        <f>I168+J168+K168</f>
        <v>0</v>
      </c>
      <c r="J74" s="32">
        <f>I169+J169+K169</f>
        <v>0</v>
      </c>
      <c r="K74" s="145">
        <f t="shared" si="23"/>
        <v>0</v>
      </c>
      <c r="L74" s="126">
        <f t="shared" si="12"/>
        <v>0</v>
      </c>
      <c r="M74" s="126">
        <f t="shared" si="12"/>
        <v>0</v>
      </c>
      <c r="N74" s="126">
        <f t="shared" si="13"/>
        <v>0</v>
      </c>
      <c r="O74" s="362"/>
      <c r="P74" s="363"/>
      <c r="Q74" s="363"/>
      <c r="R74" s="363"/>
      <c r="S74" s="363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R74" s="39"/>
      <c r="AS74" s="40" t="s">
        <v>189</v>
      </c>
      <c r="AT74" s="41" t="s">
        <v>218</v>
      </c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374" s="45" customFormat="1" ht="29.25" customHeight="1">
      <c r="A75" s="360" t="s">
        <v>73</v>
      </c>
      <c r="B75" s="361"/>
      <c r="C75" s="7"/>
      <c r="D75" s="7"/>
      <c r="E75" s="6"/>
      <c r="F75" s="7"/>
      <c r="G75" s="3"/>
      <c r="H75" s="3"/>
      <c r="I75" s="32">
        <f>I170+J170+K170</f>
        <v>0</v>
      </c>
      <c r="J75" s="32">
        <f>I171+J171+K171</f>
        <v>0</v>
      </c>
      <c r="K75" s="145">
        <f t="shared" si="23"/>
        <v>0</v>
      </c>
      <c r="L75" s="126">
        <f t="shared" si="12"/>
        <v>0</v>
      </c>
      <c r="M75" s="126">
        <f t="shared" si="12"/>
        <v>0</v>
      </c>
      <c r="N75" s="126">
        <f t="shared" si="13"/>
        <v>0</v>
      </c>
      <c r="O75" s="362"/>
      <c r="P75" s="363"/>
      <c r="Q75" s="363"/>
      <c r="R75" s="363"/>
      <c r="S75" s="363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R75" s="39"/>
      <c r="AS75" s="40" t="s">
        <v>189</v>
      </c>
      <c r="AT75" s="41" t="s">
        <v>219</v>
      </c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374" s="45" customFormat="1" ht="29.25" customHeight="1">
      <c r="A76" s="366" t="s">
        <v>146</v>
      </c>
      <c r="B76" s="367"/>
      <c r="C76" s="319" t="s">
        <v>89</v>
      </c>
      <c r="D76" s="320"/>
      <c r="E76" s="321"/>
      <c r="F76" s="322" t="s">
        <v>105</v>
      </c>
      <c r="G76" s="322"/>
      <c r="H76" s="322"/>
      <c r="I76" s="323" t="s">
        <v>106</v>
      </c>
      <c r="J76" s="323"/>
      <c r="K76" s="323"/>
      <c r="L76" s="299" t="s">
        <v>142</v>
      </c>
      <c r="M76" s="299"/>
      <c r="N76" s="299"/>
      <c r="O76" s="370" t="s">
        <v>145</v>
      </c>
      <c r="P76" s="370"/>
      <c r="Q76" s="370"/>
      <c r="R76" s="370"/>
      <c r="S76" s="370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R76" s="39"/>
      <c r="AS76" s="40" t="s">
        <v>189</v>
      </c>
      <c r="AT76" s="41" t="s">
        <v>220</v>
      </c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374" s="45" customFormat="1" ht="58.5" customHeight="1">
      <c r="A77" s="368"/>
      <c r="B77" s="369"/>
      <c r="C77" s="146" t="s">
        <v>102</v>
      </c>
      <c r="D77" s="167" t="s">
        <v>141</v>
      </c>
      <c r="E77" s="21" t="s">
        <v>140</v>
      </c>
      <c r="F77" s="147" t="s">
        <v>102</v>
      </c>
      <c r="G77" s="167" t="s">
        <v>141</v>
      </c>
      <c r="H77" s="21" t="s">
        <v>140</v>
      </c>
      <c r="I77" s="148" t="s">
        <v>102</v>
      </c>
      <c r="J77" s="167" t="s">
        <v>141</v>
      </c>
      <c r="K77" s="21" t="s">
        <v>140</v>
      </c>
      <c r="L77" s="127" t="s">
        <v>102</v>
      </c>
      <c r="M77" s="167" t="s">
        <v>141</v>
      </c>
      <c r="N77" s="21" t="s">
        <v>140</v>
      </c>
      <c r="O77" s="370"/>
      <c r="P77" s="370"/>
      <c r="Q77" s="370"/>
      <c r="R77" s="370"/>
      <c r="S77" s="370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R77" s="39"/>
      <c r="AS77" s="40" t="s">
        <v>189</v>
      </c>
      <c r="AT77" s="41" t="s">
        <v>221</v>
      </c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374" ht="15" customHeight="1">
      <c r="A78" s="364" t="str">
        <f>A25</f>
        <v>Neural tube defect</v>
      </c>
      <c r="B78" s="14" t="s">
        <v>15</v>
      </c>
      <c r="C78" s="149"/>
      <c r="D78" s="149"/>
      <c r="E78" s="149"/>
      <c r="F78" s="150"/>
      <c r="G78" s="150"/>
      <c r="H78" s="150"/>
      <c r="I78" s="151"/>
      <c r="J78" s="151"/>
      <c r="K78" s="151"/>
      <c r="L78" s="126">
        <f>SUM(C78,F78,I78)</f>
        <v>0</v>
      </c>
      <c r="M78" s="126">
        <f>SUM(D78,G78,J78)</f>
        <v>0</v>
      </c>
      <c r="N78" s="126">
        <f>SUM(E78,H78,K78)</f>
        <v>0</v>
      </c>
      <c r="O78" s="365"/>
      <c r="P78" s="365"/>
      <c r="Q78" s="365"/>
      <c r="R78" s="365"/>
      <c r="S78" s="365"/>
      <c r="AS78" s="40" t="s">
        <v>189</v>
      </c>
      <c r="AT78" s="41" t="s">
        <v>222</v>
      </c>
      <c r="AU78" s="38"/>
      <c r="AV78" s="38"/>
      <c r="AW78" s="38"/>
      <c r="AX78" s="38"/>
    </row>
    <row r="79" spans="1:374" ht="15" customHeight="1">
      <c r="A79" s="364"/>
      <c r="B79" s="14" t="s">
        <v>16</v>
      </c>
      <c r="C79" s="149"/>
      <c r="D79" s="149"/>
      <c r="E79" s="149"/>
      <c r="F79" s="150"/>
      <c r="G79" s="150"/>
      <c r="H79" s="150"/>
      <c r="I79" s="151"/>
      <c r="J79" s="151"/>
      <c r="K79" s="151"/>
      <c r="L79" s="126">
        <f t="shared" ref="L79:N156" si="26">SUM(C79,F79,I79)</f>
        <v>0</v>
      </c>
      <c r="M79" s="126">
        <f t="shared" si="26"/>
        <v>0</v>
      </c>
      <c r="N79" s="126">
        <f t="shared" si="26"/>
        <v>0</v>
      </c>
      <c r="O79" s="365"/>
      <c r="P79" s="365"/>
      <c r="Q79" s="365"/>
      <c r="R79" s="365"/>
      <c r="S79" s="365"/>
      <c r="AS79" s="40" t="s">
        <v>223</v>
      </c>
      <c r="AT79" s="41" t="s">
        <v>224</v>
      </c>
      <c r="AU79" s="38"/>
      <c r="AV79" s="38"/>
      <c r="AW79" s="38"/>
      <c r="AX79" s="38"/>
    </row>
    <row r="80" spans="1:374" ht="19.5" customHeight="1">
      <c r="A80" s="364" t="s">
        <v>32</v>
      </c>
      <c r="B80" s="14" t="s">
        <v>15</v>
      </c>
      <c r="C80" s="149"/>
      <c r="D80" s="149"/>
      <c r="E80" s="149"/>
      <c r="F80" s="150"/>
      <c r="G80" s="150"/>
      <c r="H80" s="150"/>
      <c r="I80" s="151"/>
      <c r="J80" s="151"/>
      <c r="K80" s="151"/>
      <c r="L80" s="126">
        <f t="shared" si="26"/>
        <v>0</v>
      </c>
      <c r="M80" s="126">
        <f t="shared" si="26"/>
        <v>0</v>
      </c>
      <c r="N80" s="126">
        <f t="shared" si="26"/>
        <v>0</v>
      </c>
      <c r="O80" s="365"/>
      <c r="P80" s="365"/>
      <c r="Q80" s="365"/>
      <c r="R80" s="365"/>
      <c r="S80" s="365"/>
      <c r="AS80" s="40" t="s">
        <v>223</v>
      </c>
      <c r="AT80" s="41" t="s">
        <v>225</v>
      </c>
      <c r="AU80" s="38"/>
      <c r="AV80" s="38"/>
      <c r="AW80" s="38"/>
      <c r="AX80" s="38"/>
    </row>
    <row r="81" spans="1:50" ht="15" customHeight="1">
      <c r="A81" s="364"/>
      <c r="B81" s="14" t="s">
        <v>16</v>
      </c>
      <c r="C81" s="149"/>
      <c r="D81" s="149"/>
      <c r="E81" s="149"/>
      <c r="F81" s="150"/>
      <c r="G81" s="150"/>
      <c r="H81" s="150"/>
      <c r="I81" s="151"/>
      <c r="J81" s="151"/>
      <c r="K81" s="151"/>
      <c r="L81" s="126">
        <f t="shared" si="26"/>
        <v>0</v>
      </c>
      <c r="M81" s="126">
        <f t="shared" si="26"/>
        <v>0</v>
      </c>
      <c r="N81" s="126">
        <f t="shared" si="26"/>
        <v>0</v>
      </c>
      <c r="O81" s="365"/>
      <c r="P81" s="365"/>
      <c r="Q81" s="365"/>
      <c r="R81" s="365"/>
      <c r="S81" s="365"/>
      <c r="AS81" s="40" t="s">
        <v>223</v>
      </c>
      <c r="AT81" s="41" t="s">
        <v>226</v>
      </c>
      <c r="AU81" s="38"/>
      <c r="AV81" s="38"/>
      <c r="AW81" s="38"/>
      <c r="AX81" s="38"/>
    </row>
    <row r="82" spans="1:50" ht="15" customHeight="1">
      <c r="A82" s="364" t="s">
        <v>33</v>
      </c>
      <c r="B82" s="14" t="s">
        <v>15</v>
      </c>
      <c r="C82" s="149"/>
      <c r="D82" s="149"/>
      <c r="E82" s="149"/>
      <c r="F82" s="150"/>
      <c r="G82" s="150"/>
      <c r="H82" s="150"/>
      <c r="I82" s="151"/>
      <c r="J82" s="151"/>
      <c r="K82" s="151"/>
      <c r="L82" s="126">
        <f t="shared" si="26"/>
        <v>0</v>
      </c>
      <c r="M82" s="126">
        <f t="shared" si="26"/>
        <v>0</v>
      </c>
      <c r="N82" s="126">
        <f t="shared" si="26"/>
        <v>0</v>
      </c>
      <c r="O82" s="365"/>
      <c r="P82" s="365"/>
      <c r="Q82" s="365"/>
      <c r="R82" s="365"/>
      <c r="S82" s="365"/>
      <c r="AS82" s="40" t="s">
        <v>223</v>
      </c>
      <c r="AT82" s="41" t="s">
        <v>227</v>
      </c>
      <c r="AU82" s="38"/>
      <c r="AV82" s="38"/>
      <c r="AW82" s="38"/>
      <c r="AX82" s="38"/>
    </row>
    <row r="83" spans="1:50" ht="15" customHeight="1">
      <c r="A83" s="364"/>
      <c r="B83" s="14" t="s">
        <v>16</v>
      </c>
      <c r="C83" s="149"/>
      <c r="D83" s="149"/>
      <c r="E83" s="149"/>
      <c r="F83" s="150"/>
      <c r="G83" s="150"/>
      <c r="H83" s="150"/>
      <c r="I83" s="151"/>
      <c r="J83" s="151"/>
      <c r="K83" s="151"/>
      <c r="L83" s="126">
        <f t="shared" si="26"/>
        <v>0</v>
      </c>
      <c r="M83" s="126">
        <f t="shared" si="26"/>
        <v>0</v>
      </c>
      <c r="N83" s="126">
        <f t="shared" si="26"/>
        <v>0</v>
      </c>
      <c r="O83" s="365"/>
      <c r="P83" s="365"/>
      <c r="Q83" s="365"/>
      <c r="R83" s="365"/>
      <c r="S83" s="365"/>
      <c r="AS83" s="40" t="s">
        <v>223</v>
      </c>
      <c r="AT83" s="41" t="s">
        <v>228</v>
      </c>
      <c r="AU83" s="38"/>
      <c r="AV83" s="38"/>
      <c r="AW83" s="38"/>
      <c r="AX83" s="38"/>
    </row>
    <row r="84" spans="1:50" ht="15" customHeight="1">
      <c r="A84" s="364" t="s">
        <v>34</v>
      </c>
      <c r="B84" s="14" t="s">
        <v>15</v>
      </c>
      <c r="C84" s="149"/>
      <c r="D84" s="149"/>
      <c r="E84" s="149"/>
      <c r="F84" s="150"/>
      <c r="G84" s="150"/>
      <c r="H84" s="150"/>
      <c r="I84" s="151"/>
      <c r="J84" s="151"/>
      <c r="K84" s="151"/>
      <c r="L84" s="126">
        <f t="shared" si="26"/>
        <v>0</v>
      </c>
      <c r="M84" s="126">
        <f t="shared" si="26"/>
        <v>0</v>
      </c>
      <c r="N84" s="126">
        <f t="shared" si="26"/>
        <v>0</v>
      </c>
      <c r="O84" s="372"/>
      <c r="P84" s="373"/>
      <c r="Q84" s="373"/>
      <c r="R84" s="373"/>
      <c r="S84" s="374"/>
      <c r="AS84" s="40" t="s">
        <v>223</v>
      </c>
      <c r="AT84" s="41" t="s">
        <v>229</v>
      </c>
      <c r="AU84" s="38"/>
      <c r="AV84" s="38"/>
      <c r="AW84" s="38"/>
      <c r="AX84" s="38"/>
    </row>
    <row r="85" spans="1:50" ht="15" customHeight="1">
      <c r="A85" s="364"/>
      <c r="B85" s="14" t="s">
        <v>16</v>
      </c>
      <c r="C85" s="149"/>
      <c r="D85" s="149"/>
      <c r="E85" s="149"/>
      <c r="F85" s="150"/>
      <c r="G85" s="150"/>
      <c r="H85" s="150"/>
      <c r="I85" s="151"/>
      <c r="J85" s="151"/>
      <c r="K85" s="151"/>
      <c r="L85" s="126">
        <f t="shared" si="26"/>
        <v>0</v>
      </c>
      <c r="M85" s="126">
        <f t="shared" si="26"/>
        <v>0</v>
      </c>
      <c r="N85" s="126">
        <f t="shared" si="26"/>
        <v>0</v>
      </c>
      <c r="O85" s="365"/>
      <c r="P85" s="365"/>
      <c r="Q85" s="365"/>
      <c r="R85" s="365"/>
      <c r="S85" s="365"/>
      <c r="AS85" s="40" t="s">
        <v>223</v>
      </c>
      <c r="AT85" s="41" t="s">
        <v>230</v>
      </c>
      <c r="AU85" s="38"/>
      <c r="AV85" s="38"/>
      <c r="AW85" s="38"/>
      <c r="AX85" s="38"/>
    </row>
    <row r="86" spans="1:50" ht="15" customHeight="1">
      <c r="A86" s="371" t="s">
        <v>94</v>
      </c>
      <c r="B86" s="14" t="s">
        <v>15</v>
      </c>
      <c r="C86" s="149"/>
      <c r="D86" s="149"/>
      <c r="E86" s="149"/>
      <c r="F86" s="150"/>
      <c r="G86" s="150"/>
      <c r="H86" s="150"/>
      <c r="I86" s="151"/>
      <c r="J86" s="151"/>
      <c r="K86" s="151"/>
      <c r="L86" s="126">
        <f t="shared" si="26"/>
        <v>0</v>
      </c>
      <c r="M86" s="126">
        <f t="shared" si="26"/>
        <v>0</v>
      </c>
      <c r="N86" s="126">
        <f t="shared" si="26"/>
        <v>0</v>
      </c>
      <c r="O86" s="365"/>
      <c r="P86" s="365"/>
      <c r="Q86" s="365"/>
      <c r="R86" s="365"/>
      <c r="S86" s="365"/>
      <c r="AS86" s="40" t="s">
        <v>223</v>
      </c>
      <c r="AT86" s="41" t="s">
        <v>231</v>
      </c>
      <c r="AU86" s="38"/>
      <c r="AV86" s="38"/>
      <c r="AW86" s="38"/>
      <c r="AX86" s="38"/>
    </row>
    <row r="87" spans="1:50" ht="15" customHeight="1">
      <c r="A87" s="371"/>
      <c r="B87" s="14" t="s">
        <v>16</v>
      </c>
      <c r="C87" s="149"/>
      <c r="D87" s="149"/>
      <c r="E87" s="149"/>
      <c r="F87" s="150"/>
      <c r="G87" s="150"/>
      <c r="H87" s="150"/>
      <c r="I87" s="151"/>
      <c r="J87" s="151"/>
      <c r="K87" s="151"/>
      <c r="L87" s="126">
        <f t="shared" si="26"/>
        <v>0</v>
      </c>
      <c r="M87" s="126">
        <f t="shared" si="26"/>
        <v>0</v>
      </c>
      <c r="N87" s="126">
        <f t="shared" si="26"/>
        <v>0</v>
      </c>
      <c r="O87" s="365"/>
      <c r="P87" s="365"/>
      <c r="Q87" s="365"/>
      <c r="R87" s="365"/>
      <c r="S87" s="365"/>
      <c r="AS87" s="40" t="s">
        <v>223</v>
      </c>
      <c r="AT87" s="41" t="s">
        <v>232</v>
      </c>
      <c r="AU87" s="38"/>
      <c r="AV87" s="38"/>
      <c r="AW87" s="38"/>
      <c r="AX87" s="38"/>
    </row>
    <row r="88" spans="1:50" ht="15" customHeight="1">
      <c r="A88" s="364" t="s">
        <v>36</v>
      </c>
      <c r="B88" s="14" t="s">
        <v>15</v>
      </c>
      <c r="C88" s="149"/>
      <c r="D88" s="149"/>
      <c r="E88" s="149"/>
      <c r="F88" s="150"/>
      <c r="G88" s="150"/>
      <c r="H88" s="150"/>
      <c r="I88" s="151"/>
      <c r="J88" s="151"/>
      <c r="K88" s="151"/>
      <c r="L88" s="126">
        <f t="shared" si="26"/>
        <v>0</v>
      </c>
      <c r="M88" s="126">
        <f t="shared" si="26"/>
        <v>0</v>
      </c>
      <c r="N88" s="126">
        <f t="shared" si="26"/>
        <v>0</v>
      </c>
      <c r="O88" s="365"/>
      <c r="P88" s="365"/>
      <c r="Q88" s="365"/>
      <c r="R88" s="365"/>
      <c r="S88" s="365"/>
      <c r="AS88" s="40" t="s">
        <v>223</v>
      </c>
      <c r="AT88" s="41" t="s">
        <v>233</v>
      </c>
      <c r="AU88" s="38"/>
      <c r="AV88" s="38"/>
      <c r="AW88" s="38"/>
      <c r="AX88" s="38"/>
    </row>
    <row r="89" spans="1:50" ht="15" customHeight="1">
      <c r="A89" s="364"/>
      <c r="B89" s="14" t="s">
        <v>16</v>
      </c>
      <c r="C89" s="149"/>
      <c r="D89" s="149"/>
      <c r="E89" s="149"/>
      <c r="F89" s="150"/>
      <c r="G89" s="150"/>
      <c r="H89" s="150"/>
      <c r="I89" s="151"/>
      <c r="J89" s="151"/>
      <c r="K89" s="151"/>
      <c r="L89" s="126">
        <f t="shared" si="26"/>
        <v>0</v>
      </c>
      <c r="M89" s="126">
        <f t="shared" si="26"/>
        <v>0</v>
      </c>
      <c r="N89" s="126">
        <f t="shared" si="26"/>
        <v>0</v>
      </c>
      <c r="O89" s="365"/>
      <c r="P89" s="365"/>
      <c r="Q89" s="365"/>
      <c r="R89" s="365"/>
      <c r="S89" s="365"/>
      <c r="AS89" s="40" t="s">
        <v>223</v>
      </c>
      <c r="AT89" s="41" t="s">
        <v>234</v>
      </c>
      <c r="AU89" s="38"/>
      <c r="AV89" s="38"/>
      <c r="AW89" s="38"/>
      <c r="AX89" s="38"/>
    </row>
    <row r="90" spans="1:50" ht="15" customHeight="1">
      <c r="A90" s="364" t="s">
        <v>37</v>
      </c>
      <c r="B90" s="14" t="s">
        <v>15</v>
      </c>
      <c r="C90" s="149"/>
      <c r="D90" s="149"/>
      <c r="E90" s="149">
        <v>0</v>
      </c>
      <c r="F90" s="150"/>
      <c r="G90" s="150"/>
      <c r="H90" s="150"/>
      <c r="I90" s="151"/>
      <c r="J90" s="151"/>
      <c r="K90" s="151"/>
      <c r="L90" s="126">
        <f t="shared" si="26"/>
        <v>0</v>
      </c>
      <c r="M90" s="126">
        <f t="shared" si="26"/>
        <v>0</v>
      </c>
      <c r="N90" s="126">
        <f t="shared" si="26"/>
        <v>0</v>
      </c>
      <c r="O90" s="365"/>
      <c r="P90" s="365"/>
      <c r="Q90" s="365"/>
      <c r="R90" s="365"/>
      <c r="S90" s="365"/>
      <c r="AS90" s="40" t="s">
        <v>223</v>
      </c>
      <c r="AT90" s="41" t="s">
        <v>235</v>
      </c>
      <c r="AU90" s="38"/>
      <c r="AV90" s="38"/>
      <c r="AW90" s="38"/>
      <c r="AX90" s="38"/>
    </row>
    <row r="91" spans="1:50" ht="15" customHeight="1">
      <c r="A91" s="364"/>
      <c r="B91" s="14" t="s">
        <v>16</v>
      </c>
      <c r="C91" s="149"/>
      <c r="D91" s="149"/>
      <c r="E91" s="149"/>
      <c r="F91" s="150"/>
      <c r="G91" s="150"/>
      <c r="H91" s="150"/>
      <c r="I91" s="151"/>
      <c r="J91" s="151"/>
      <c r="K91" s="151"/>
      <c r="L91" s="126">
        <f t="shared" si="26"/>
        <v>0</v>
      </c>
      <c r="M91" s="126">
        <f t="shared" si="26"/>
        <v>0</v>
      </c>
      <c r="N91" s="126">
        <f t="shared" si="26"/>
        <v>0</v>
      </c>
      <c r="O91" s="365"/>
      <c r="P91" s="365"/>
      <c r="Q91" s="365"/>
      <c r="R91" s="365"/>
      <c r="S91" s="365"/>
      <c r="AS91" s="40" t="s">
        <v>223</v>
      </c>
      <c r="AT91" s="41" t="s">
        <v>236</v>
      </c>
      <c r="AU91" s="38"/>
      <c r="AV91" s="38"/>
      <c r="AW91" s="38"/>
      <c r="AX91" s="38"/>
    </row>
    <row r="92" spans="1:50" ht="15" customHeight="1">
      <c r="A92" s="371" t="s">
        <v>38</v>
      </c>
      <c r="B92" s="14" t="s">
        <v>15</v>
      </c>
      <c r="C92" s="149"/>
      <c r="D92" s="149"/>
      <c r="E92" s="149"/>
      <c r="F92" s="150"/>
      <c r="G92" s="150"/>
      <c r="H92" s="150">
        <v>0</v>
      </c>
      <c r="I92" s="151"/>
      <c r="J92" s="151"/>
      <c r="K92" s="151">
        <v>1</v>
      </c>
      <c r="L92" s="126">
        <f t="shared" si="26"/>
        <v>0</v>
      </c>
      <c r="M92" s="126">
        <f t="shared" si="26"/>
        <v>0</v>
      </c>
      <c r="N92" s="126">
        <f t="shared" si="26"/>
        <v>1</v>
      </c>
      <c r="O92" s="365"/>
      <c r="P92" s="365"/>
      <c r="Q92" s="365"/>
      <c r="R92" s="365"/>
      <c r="S92" s="365"/>
      <c r="AS92" s="40" t="s">
        <v>223</v>
      </c>
      <c r="AT92" s="41" t="s">
        <v>237</v>
      </c>
      <c r="AU92" s="38"/>
      <c r="AV92" s="38"/>
      <c r="AW92" s="38"/>
      <c r="AX92" s="38"/>
    </row>
    <row r="93" spans="1:50" ht="15" customHeight="1">
      <c r="A93" s="371"/>
      <c r="B93" s="14" t="s">
        <v>16</v>
      </c>
      <c r="C93" s="149"/>
      <c r="D93" s="149"/>
      <c r="E93" s="149">
        <v>0</v>
      </c>
      <c r="F93" s="150"/>
      <c r="G93" s="150"/>
      <c r="H93" s="150"/>
      <c r="I93" s="151"/>
      <c r="J93" s="151"/>
      <c r="K93" s="151"/>
      <c r="L93" s="126">
        <f t="shared" si="26"/>
        <v>0</v>
      </c>
      <c r="M93" s="126">
        <f t="shared" si="26"/>
        <v>0</v>
      </c>
      <c r="N93" s="126">
        <f t="shared" si="26"/>
        <v>0</v>
      </c>
      <c r="O93" s="365"/>
      <c r="P93" s="365"/>
      <c r="Q93" s="365"/>
      <c r="R93" s="365"/>
      <c r="S93" s="365"/>
      <c r="AS93" s="40" t="s">
        <v>223</v>
      </c>
      <c r="AT93" s="41" t="s">
        <v>238</v>
      </c>
      <c r="AU93" s="38"/>
      <c r="AV93" s="38"/>
      <c r="AW93" s="38"/>
      <c r="AX93" s="38"/>
    </row>
    <row r="94" spans="1:50" ht="15" customHeight="1">
      <c r="A94" s="371" t="s">
        <v>39</v>
      </c>
      <c r="B94" s="14" t="s">
        <v>15</v>
      </c>
      <c r="C94" s="149"/>
      <c r="D94" s="149"/>
      <c r="E94" s="149"/>
      <c r="F94" s="150"/>
      <c r="G94" s="150"/>
      <c r="H94" s="150"/>
      <c r="I94" s="151"/>
      <c r="J94" s="151"/>
      <c r="K94" s="151"/>
      <c r="L94" s="126">
        <f t="shared" si="26"/>
        <v>0</v>
      </c>
      <c r="M94" s="126">
        <f t="shared" si="26"/>
        <v>0</v>
      </c>
      <c r="N94" s="126">
        <f t="shared" si="26"/>
        <v>0</v>
      </c>
      <c r="O94" s="365"/>
      <c r="P94" s="365"/>
      <c r="Q94" s="365"/>
      <c r="R94" s="365"/>
      <c r="S94" s="365"/>
      <c r="AS94" s="40" t="s">
        <v>223</v>
      </c>
      <c r="AT94" s="41" t="s">
        <v>239</v>
      </c>
      <c r="AU94" s="38"/>
      <c r="AV94" s="38"/>
      <c r="AW94" s="38"/>
      <c r="AX94" s="38"/>
    </row>
    <row r="95" spans="1:50" ht="15" customHeight="1">
      <c r="A95" s="371"/>
      <c r="B95" s="14" t="s">
        <v>16</v>
      </c>
      <c r="C95" s="149"/>
      <c r="D95" s="149"/>
      <c r="E95" s="149"/>
      <c r="F95" s="150"/>
      <c r="G95" s="150"/>
      <c r="H95" s="150"/>
      <c r="I95" s="151"/>
      <c r="J95" s="151"/>
      <c r="K95" s="151"/>
      <c r="L95" s="126">
        <f t="shared" si="26"/>
        <v>0</v>
      </c>
      <c r="M95" s="126">
        <f t="shared" si="26"/>
        <v>0</v>
      </c>
      <c r="N95" s="126">
        <f t="shared" si="26"/>
        <v>0</v>
      </c>
      <c r="O95" s="365"/>
      <c r="P95" s="365"/>
      <c r="Q95" s="365"/>
      <c r="R95" s="365"/>
      <c r="S95" s="365"/>
      <c r="AS95" s="40" t="s">
        <v>223</v>
      </c>
      <c r="AT95" s="41" t="s">
        <v>240</v>
      </c>
      <c r="AU95" s="38"/>
      <c r="AV95" s="38"/>
      <c r="AW95" s="38"/>
      <c r="AX95" s="38"/>
    </row>
    <row r="96" spans="1:50" ht="15" customHeight="1">
      <c r="A96" s="375" t="s">
        <v>926</v>
      </c>
      <c r="B96" s="14" t="s">
        <v>15</v>
      </c>
      <c r="C96" s="149"/>
      <c r="D96" s="149"/>
      <c r="E96" s="149"/>
      <c r="F96" s="150"/>
      <c r="G96" s="150"/>
      <c r="H96" s="150"/>
      <c r="I96" s="151"/>
      <c r="J96" s="151"/>
      <c r="K96" s="151"/>
      <c r="L96" s="126">
        <f t="shared" si="26"/>
        <v>0</v>
      </c>
      <c r="M96" s="126">
        <f t="shared" si="26"/>
        <v>0</v>
      </c>
      <c r="N96" s="126">
        <f t="shared" si="26"/>
        <v>0</v>
      </c>
      <c r="O96" s="159"/>
      <c r="P96" s="159"/>
      <c r="Q96" s="159"/>
      <c r="R96" s="159"/>
      <c r="S96" s="159"/>
      <c r="AS96" s="40"/>
      <c r="AT96" s="41"/>
      <c r="AU96" s="38"/>
      <c r="AV96" s="38"/>
      <c r="AW96" s="38"/>
      <c r="AX96" s="38"/>
    </row>
    <row r="97" spans="1:50" ht="15" customHeight="1">
      <c r="A97" s="375"/>
      <c r="B97" s="14" t="s">
        <v>16</v>
      </c>
      <c r="C97" s="149"/>
      <c r="D97" s="149"/>
      <c r="E97" s="149"/>
      <c r="F97" s="150"/>
      <c r="G97" s="150"/>
      <c r="H97" s="150"/>
      <c r="I97" s="151"/>
      <c r="J97" s="151"/>
      <c r="K97" s="151"/>
      <c r="L97" s="126">
        <f t="shared" si="26"/>
        <v>0</v>
      </c>
      <c r="M97" s="126">
        <f t="shared" si="26"/>
        <v>0</v>
      </c>
      <c r="N97" s="126">
        <f t="shared" si="26"/>
        <v>0</v>
      </c>
      <c r="O97" s="159"/>
      <c r="P97" s="159"/>
      <c r="Q97" s="159"/>
      <c r="R97" s="159"/>
      <c r="S97" s="159"/>
      <c r="AS97" s="40"/>
      <c r="AT97" s="41"/>
      <c r="AU97" s="38"/>
      <c r="AV97" s="38"/>
      <c r="AW97" s="38"/>
      <c r="AX97" s="38"/>
    </row>
    <row r="98" spans="1:50" ht="15" customHeight="1">
      <c r="A98" s="375" t="s">
        <v>927</v>
      </c>
      <c r="B98" s="14" t="s">
        <v>15</v>
      </c>
      <c r="C98" s="149"/>
      <c r="D98" s="149"/>
      <c r="E98" s="149"/>
      <c r="F98" s="150"/>
      <c r="G98" s="150"/>
      <c r="H98" s="150"/>
      <c r="I98" s="151"/>
      <c r="J98" s="151"/>
      <c r="K98" s="151"/>
      <c r="L98" s="126">
        <f t="shared" si="26"/>
        <v>0</v>
      </c>
      <c r="M98" s="126">
        <f t="shared" si="26"/>
        <v>0</v>
      </c>
      <c r="N98" s="126">
        <f t="shared" si="26"/>
        <v>0</v>
      </c>
      <c r="O98" s="159"/>
      <c r="P98" s="159"/>
      <c r="Q98" s="159"/>
      <c r="R98" s="159"/>
      <c r="S98" s="159"/>
      <c r="AS98" s="40"/>
      <c r="AT98" s="41"/>
      <c r="AU98" s="38"/>
      <c r="AV98" s="38"/>
      <c r="AW98" s="38"/>
      <c r="AX98" s="38"/>
    </row>
    <row r="99" spans="1:50" ht="15" customHeight="1">
      <c r="A99" s="375"/>
      <c r="B99" s="14" t="s">
        <v>16</v>
      </c>
      <c r="C99" s="149"/>
      <c r="D99" s="149"/>
      <c r="E99" s="149"/>
      <c r="F99" s="150"/>
      <c r="G99" s="150"/>
      <c r="H99" s="150"/>
      <c r="I99" s="151"/>
      <c r="J99" s="151"/>
      <c r="K99" s="151"/>
      <c r="L99" s="126">
        <f t="shared" si="26"/>
        <v>0</v>
      </c>
      <c r="M99" s="126">
        <f t="shared" si="26"/>
        <v>0</v>
      </c>
      <c r="N99" s="126">
        <f t="shared" si="26"/>
        <v>0</v>
      </c>
      <c r="O99" s="159"/>
      <c r="P99" s="159"/>
      <c r="Q99" s="159"/>
      <c r="R99" s="159"/>
      <c r="S99" s="159"/>
      <c r="AS99" s="40"/>
      <c r="AT99" s="41"/>
      <c r="AU99" s="38"/>
      <c r="AV99" s="38"/>
      <c r="AW99" s="38"/>
      <c r="AX99" s="38"/>
    </row>
    <row r="100" spans="1:50" ht="15" customHeight="1">
      <c r="A100" s="376" t="s">
        <v>41</v>
      </c>
      <c r="B100" s="12" t="s">
        <v>15</v>
      </c>
      <c r="C100" s="149">
        <v>0</v>
      </c>
      <c r="D100" s="149"/>
      <c r="E100" s="149"/>
      <c r="F100" s="150"/>
      <c r="G100" s="150"/>
      <c r="H100" s="150"/>
      <c r="I100" s="151">
        <v>3</v>
      </c>
      <c r="J100" s="151"/>
      <c r="K100" s="151"/>
      <c r="L100" s="126">
        <f t="shared" si="26"/>
        <v>3</v>
      </c>
      <c r="M100" s="126">
        <f t="shared" si="26"/>
        <v>0</v>
      </c>
      <c r="N100" s="126">
        <f t="shared" si="26"/>
        <v>0</v>
      </c>
      <c r="O100" s="365"/>
      <c r="P100" s="365"/>
      <c r="Q100" s="365"/>
      <c r="R100" s="365"/>
      <c r="S100" s="365"/>
      <c r="AS100" s="40" t="s">
        <v>223</v>
      </c>
      <c r="AT100" s="41" t="s">
        <v>241</v>
      </c>
      <c r="AU100" s="38"/>
      <c r="AV100" s="38"/>
      <c r="AW100" s="38"/>
      <c r="AX100" s="38"/>
    </row>
    <row r="101" spans="1:50" ht="15" customHeight="1">
      <c r="A101" s="376"/>
      <c r="B101" s="12" t="s">
        <v>16</v>
      </c>
      <c r="C101" s="149">
        <v>0</v>
      </c>
      <c r="D101" s="149"/>
      <c r="E101" s="149"/>
      <c r="F101" s="150"/>
      <c r="G101" s="150"/>
      <c r="H101" s="150"/>
      <c r="I101" s="151">
        <v>9</v>
      </c>
      <c r="J101" s="151"/>
      <c r="K101" s="151"/>
      <c r="L101" s="126">
        <f t="shared" si="26"/>
        <v>9</v>
      </c>
      <c r="M101" s="126">
        <f t="shared" si="26"/>
        <v>0</v>
      </c>
      <c r="N101" s="126">
        <f t="shared" si="26"/>
        <v>0</v>
      </c>
      <c r="O101" s="365"/>
      <c r="P101" s="365"/>
      <c r="Q101" s="365"/>
      <c r="R101" s="365"/>
      <c r="S101" s="365"/>
      <c r="AS101" s="40" t="s">
        <v>223</v>
      </c>
      <c r="AT101" s="41" t="s">
        <v>242</v>
      </c>
      <c r="AU101" s="38"/>
      <c r="AV101" s="38"/>
      <c r="AW101" s="38"/>
      <c r="AX101" s="38"/>
    </row>
    <row r="102" spans="1:50" ht="15" customHeight="1">
      <c r="A102" s="378" t="s">
        <v>117</v>
      </c>
      <c r="B102" s="12" t="s">
        <v>15</v>
      </c>
      <c r="C102" s="149"/>
      <c r="D102" s="149"/>
      <c r="E102" s="149"/>
      <c r="F102" s="150"/>
      <c r="G102" s="150"/>
      <c r="H102" s="150"/>
      <c r="I102" s="151"/>
      <c r="J102" s="151"/>
      <c r="K102" s="151"/>
      <c r="L102" s="126">
        <f t="shared" si="26"/>
        <v>0</v>
      </c>
      <c r="M102" s="126">
        <f t="shared" si="26"/>
        <v>0</v>
      </c>
      <c r="N102" s="126">
        <f t="shared" si="26"/>
        <v>0</v>
      </c>
      <c r="O102" s="365"/>
      <c r="P102" s="365"/>
      <c r="Q102" s="365"/>
      <c r="R102" s="365"/>
      <c r="S102" s="365"/>
      <c r="AS102" s="40" t="s">
        <v>223</v>
      </c>
      <c r="AT102" s="41" t="s">
        <v>243</v>
      </c>
      <c r="AU102" s="38"/>
      <c r="AV102" s="38"/>
      <c r="AW102" s="38"/>
      <c r="AX102" s="38"/>
    </row>
    <row r="103" spans="1:50" ht="15" customHeight="1">
      <c r="A103" s="376"/>
      <c r="B103" s="12" t="s">
        <v>16</v>
      </c>
      <c r="C103" s="149"/>
      <c r="D103" s="149"/>
      <c r="E103" s="149"/>
      <c r="F103" s="150"/>
      <c r="G103" s="150"/>
      <c r="H103" s="150"/>
      <c r="I103" s="151"/>
      <c r="J103" s="151"/>
      <c r="K103" s="151"/>
      <c r="L103" s="126">
        <f t="shared" si="26"/>
        <v>0</v>
      </c>
      <c r="M103" s="126">
        <f t="shared" si="26"/>
        <v>0</v>
      </c>
      <c r="N103" s="126">
        <f t="shared" si="26"/>
        <v>0</v>
      </c>
      <c r="O103" s="365"/>
      <c r="P103" s="365"/>
      <c r="Q103" s="365"/>
      <c r="R103" s="365"/>
      <c r="S103" s="365"/>
      <c r="AS103" s="40" t="s">
        <v>223</v>
      </c>
      <c r="AT103" s="41" t="s">
        <v>244</v>
      </c>
      <c r="AU103" s="38"/>
      <c r="AV103" s="38"/>
      <c r="AW103" s="38"/>
      <c r="AX103" s="38"/>
    </row>
    <row r="104" spans="1:50" ht="15" customHeight="1">
      <c r="A104" s="378" t="s">
        <v>118</v>
      </c>
      <c r="B104" s="12" t="s">
        <v>15</v>
      </c>
      <c r="C104" s="149"/>
      <c r="D104" s="149"/>
      <c r="E104" s="149"/>
      <c r="F104" s="150"/>
      <c r="G104" s="150"/>
      <c r="H104" s="150"/>
      <c r="I104" s="151"/>
      <c r="J104" s="151"/>
      <c r="K104" s="151"/>
      <c r="L104" s="126">
        <f t="shared" si="26"/>
        <v>0</v>
      </c>
      <c r="M104" s="126">
        <f t="shared" si="26"/>
        <v>0</v>
      </c>
      <c r="N104" s="126">
        <f t="shared" si="26"/>
        <v>0</v>
      </c>
      <c r="O104" s="365"/>
      <c r="P104" s="365"/>
      <c r="Q104" s="365"/>
      <c r="R104" s="365"/>
      <c r="S104" s="365"/>
      <c r="AS104" s="40" t="s">
        <v>223</v>
      </c>
      <c r="AT104" s="41" t="s">
        <v>245</v>
      </c>
      <c r="AU104" s="38"/>
      <c r="AV104" s="38"/>
      <c r="AW104" s="38"/>
      <c r="AX104" s="38"/>
    </row>
    <row r="105" spans="1:50" ht="15" customHeight="1">
      <c r="A105" s="376"/>
      <c r="B105" s="12" t="s">
        <v>16</v>
      </c>
      <c r="C105" s="149"/>
      <c r="D105" s="149"/>
      <c r="E105" s="149"/>
      <c r="F105" s="150"/>
      <c r="G105" s="150"/>
      <c r="H105" s="150"/>
      <c r="I105" s="151"/>
      <c r="J105" s="151"/>
      <c r="K105" s="151"/>
      <c r="L105" s="126">
        <f t="shared" si="26"/>
        <v>0</v>
      </c>
      <c r="M105" s="126">
        <f t="shared" si="26"/>
        <v>0</v>
      </c>
      <c r="N105" s="126">
        <f t="shared" si="26"/>
        <v>0</v>
      </c>
      <c r="O105" s="365"/>
      <c r="P105" s="365"/>
      <c r="Q105" s="365"/>
      <c r="R105" s="365"/>
      <c r="S105" s="365"/>
      <c r="AS105" s="40" t="s">
        <v>223</v>
      </c>
      <c r="AT105" s="41" t="s">
        <v>246</v>
      </c>
      <c r="AU105" s="38"/>
      <c r="AV105" s="38"/>
      <c r="AW105" s="38"/>
      <c r="AX105" s="38"/>
    </row>
    <row r="106" spans="1:50" ht="15" customHeight="1">
      <c r="A106" s="377" t="s">
        <v>119</v>
      </c>
      <c r="B106" s="12" t="s">
        <v>15</v>
      </c>
      <c r="C106" s="34"/>
      <c r="D106" s="34"/>
      <c r="E106" s="34"/>
      <c r="F106" s="35"/>
      <c r="G106" s="35"/>
      <c r="H106" s="35"/>
      <c r="I106" s="128"/>
      <c r="J106" s="128"/>
      <c r="K106" s="128"/>
      <c r="L106" s="126">
        <f t="shared" si="26"/>
        <v>0</v>
      </c>
      <c r="M106" s="126">
        <f t="shared" si="26"/>
        <v>0</v>
      </c>
      <c r="N106" s="126">
        <f t="shared" si="26"/>
        <v>0</v>
      </c>
      <c r="O106" s="365"/>
      <c r="P106" s="365"/>
      <c r="Q106" s="365"/>
      <c r="R106" s="365"/>
      <c r="S106" s="365"/>
      <c r="AS106" s="40" t="s">
        <v>223</v>
      </c>
      <c r="AT106" s="41" t="s">
        <v>247</v>
      </c>
      <c r="AU106" s="38"/>
      <c r="AV106" s="38"/>
      <c r="AW106" s="38"/>
      <c r="AX106" s="38"/>
    </row>
    <row r="107" spans="1:50" ht="15" customHeight="1">
      <c r="A107" s="377"/>
      <c r="B107" s="12" t="s">
        <v>16</v>
      </c>
      <c r="C107" s="34"/>
      <c r="D107" s="34"/>
      <c r="E107" s="34">
        <v>1</v>
      </c>
      <c r="F107" s="35"/>
      <c r="G107" s="35"/>
      <c r="H107" s="35"/>
      <c r="I107" s="128"/>
      <c r="J107" s="128"/>
      <c r="K107" s="128"/>
      <c r="L107" s="126">
        <f t="shared" si="26"/>
        <v>0</v>
      </c>
      <c r="M107" s="126">
        <f t="shared" si="26"/>
        <v>0</v>
      </c>
      <c r="N107" s="126">
        <f t="shared" si="26"/>
        <v>1</v>
      </c>
      <c r="O107" s="365"/>
      <c r="P107" s="365"/>
      <c r="Q107" s="365"/>
      <c r="R107" s="365"/>
      <c r="S107" s="365"/>
      <c r="AS107" s="40" t="s">
        <v>223</v>
      </c>
      <c r="AT107" s="41" t="s">
        <v>248</v>
      </c>
      <c r="AU107" s="38"/>
      <c r="AV107" s="38"/>
      <c r="AW107" s="38"/>
      <c r="AX107" s="38"/>
    </row>
    <row r="108" spans="1:50" ht="15" customHeight="1">
      <c r="A108" s="377" t="s">
        <v>120</v>
      </c>
      <c r="B108" s="12" t="s">
        <v>15</v>
      </c>
      <c r="C108" s="128"/>
      <c r="D108" s="128"/>
      <c r="E108" s="128"/>
      <c r="F108" s="128"/>
      <c r="G108" s="128"/>
      <c r="H108" s="128"/>
      <c r="I108" s="36"/>
      <c r="J108" s="36"/>
      <c r="K108" s="36"/>
      <c r="L108" s="126">
        <f t="shared" si="26"/>
        <v>0</v>
      </c>
      <c r="M108" s="126">
        <f t="shared" si="26"/>
        <v>0</v>
      </c>
      <c r="N108" s="126">
        <f t="shared" si="26"/>
        <v>0</v>
      </c>
      <c r="O108" s="365"/>
      <c r="P108" s="365"/>
      <c r="Q108" s="365"/>
      <c r="R108" s="365"/>
      <c r="S108" s="365"/>
      <c r="AS108" s="40" t="s">
        <v>223</v>
      </c>
      <c r="AT108" s="41" t="s">
        <v>249</v>
      </c>
      <c r="AU108" s="38"/>
      <c r="AV108" s="38"/>
      <c r="AW108" s="38"/>
      <c r="AX108" s="38"/>
    </row>
    <row r="109" spans="1:50" ht="15" customHeight="1">
      <c r="A109" s="377"/>
      <c r="B109" s="12" t="s">
        <v>16</v>
      </c>
      <c r="C109" s="128"/>
      <c r="D109" s="128"/>
      <c r="E109" s="128"/>
      <c r="F109" s="128"/>
      <c r="G109" s="128"/>
      <c r="H109" s="128"/>
      <c r="I109" s="36"/>
      <c r="J109" s="36"/>
      <c r="K109" s="36"/>
      <c r="L109" s="126">
        <f t="shared" si="26"/>
        <v>0</v>
      </c>
      <c r="M109" s="126">
        <f t="shared" si="26"/>
        <v>0</v>
      </c>
      <c r="N109" s="126">
        <f t="shared" si="26"/>
        <v>0</v>
      </c>
      <c r="O109" s="365"/>
      <c r="P109" s="365"/>
      <c r="Q109" s="365"/>
      <c r="R109" s="365"/>
      <c r="S109" s="365"/>
      <c r="AS109" s="40" t="s">
        <v>223</v>
      </c>
      <c r="AT109" s="41" t="s">
        <v>250</v>
      </c>
      <c r="AU109" s="38"/>
      <c r="AV109" s="38"/>
      <c r="AW109" s="38"/>
      <c r="AX109" s="38"/>
    </row>
    <row r="110" spans="1:50" ht="15" customHeight="1">
      <c r="A110" s="377" t="s">
        <v>121</v>
      </c>
      <c r="B110" s="12" t="s">
        <v>15</v>
      </c>
      <c r="C110" s="34"/>
      <c r="D110" s="34"/>
      <c r="E110" s="34"/>
      <c r="F110" s="35"/>
      <c r="G110" s="35"/>
      <c r="H110" s="35"/>
      <c r="I110" s="36">
        <v>17</v>
      </c>
      <c r="J110" s="36"/>
      <c r="K110" s="36"/>
      <c r="L110" s="126">
        <f t="shared" si="26"/>
        <v>17</v>
      </c>
      <c r="M110" s="126">
        <f t="shared" si="26"/>
        <v>0</v>
      </c>
      <c r="N110" s="126">
        <f t="shared" si="26"/>
        <v>0</v>
      </c>
      <c r="O110" s="365"/>
      <c r="P110" s="365"/>
      <c r="Q110" s="365"/>
      <c r="R110" s="365"/>
      <c r="S110" s="365"/>
      <c r="AS110" s="40" t="s">
        <v>223</v>
      </c>
      <c r="AT110" s="41" t="s">
        <v>251</v>
      </c>
      <c r="AU110" s="38"/>
      <c r="AV110" s="38"/>
      <c r="AW110" s="38"/>
      <c r="AX110" s="38"/>
    </row>
    <row r="111" spans="1:50" ht="15" customHeight="1">
      <c r="A111" s="377"/>
      <c r="B111" s="12" t="s">
        <v>16</v>
      </c>
      <c r="C111" s="34"/>
      <c r="D111" s="34"/>
      <c r="E111" s="34"/>
      <c r="F111" s="35"/>
      <c r="G111" s="35"/>
      <c r="H111" s="35"/>
      <c r="I111" s="36">
        <v>7</v>
      </c>
      <c r="J111" s="36"/>
      <c r="K111" s="36"/>
      <c r="L111" s="126">
        <f t="shared" si="26"/>
        <v>7</v>
      </c>
      <c r="M111" s="126">
        <f t="shared" si="26"/>
        <v>0</v>
      </c>
      <c r="N111" s="126">
        <f t="shared" si="26"/>
        <v>0</v>
      </c>
      <c r="O111" s="365"/>
      <c r="P111" s="365"/>
      <c r="Q111" s="365"/>
      <c r="R111" s="365"/>
      <c r="S111" s="365"/>
      <c r="AS111" s="40" t="s">
        <v>223</v>
      </c>
      <c r="AT111" s="41" t="s">
        <v>252</v>
      </c>
      <c r="AU111" s="38"/>
      <c r="AV111" s="38"/>
      <c r="AW111" s="38"/>
      <c r="AX111" s="38"/>
    </row>
    <row r="112" spans="1:50" ht="15" customHeight="1">
      <c r="A112" s="377" t="s">
        <v>47</v>
      </c>
      <c r="B112" s="12" t="s">
        <v>15</v>
      </c>
      <c r="C112" s="34"/>
      <c r="D112" s="34"/>
      <c r="E112" s="34"/>
      <c r="F112" s="35"/>
      <c r="G112" s="35"/>
      <c r="H112" s="35"/>
      <c r="I112" s="36"/>
      <c r="J112" s="36"/>
      <c r="K112" s="36"/>
      <c r="L112" s="126">
        <f t="shared" si="26"/>
        <v>0</v>
      </c>
      <c r="M112" s="126">
        <f t="shared" si="26"/>
        <v>0</v>
      </c>
      <c r="N112" s="126">
        <f t="shared" si="26"/>
        <v>0</v>
      </c>
      <c r="O112" s="365"/>
      <c r="P112" s="365"/>
      <c r="Q112" s="365"/>
      <c r="R112" s="365"/>
      <c r="S112" s="365"/>
      <c r="AS112" s="40" t="s">
        <v>223</v>
      </c>
      <c r="AT112" s="41" t="s">
        <v>253</v>
      </c>
      <c r="AU112" s="38"/>
      <c r="AV112" s="38"/>
      <c r="AW112" s="38"/>
      <c r="AX112" s="38"/>
    </row>
    <row r="113" spans="1:50" ht="15" customHeight="1">
      <c r="A113" s="377"/>
      <c r="B113" s="12" t="s">
        <v>16</v>
      </c>
      <c r="C113" s="34"/>
      <c r="D113" s="34"/>
      <c r="E113" s="34"/>
      <c r="F113" s="35"/>
      <c r="G113" s="35"/>
      <c r="H113" s="35"/>
      <c r="I113" s="36"/>
      <c r="J113" s="36"/>
      <c r="K113" s="36"/>
      <c r="L113" s="126">
        <f t="shared" si="26"/>
        <v>0</v>
      </c>
      <c r="M113" s="126">
        <f t="shared" si="26"/>
        <v>0</v>
      </c>
      <c r="N113" s="126">
        <f t="shared" si="26"/>
        <v>0</v>
      </c>
      <c r="O113" s="365"/>
      <c r="P113" s="365"/>
      <c r="Q113" s="365"/>
      <c r="R113" s="365"/>
      <c r="S113" s="365"/>
      <c r="AS113" s="40" t="s">
        <v>223</v>
      </c>
      <c r="AT113" s="41" t="s">
        <v>254</v>
      </c>
      <c r="AU113" s="38"/>
      <c r="AV113" s="38"/>
      <c r="AW113" s="38"/>
      <c r="AX113" s="38"/>
    </row>
    <row r="114" spans="1:50" ht="15" customHeight="1">
      <c r="A114" s="379" t="s">
        <v>928</v>
      </c>
      <c r="B114" s="12" t="s">
        <v>15</v>
      </c>
      <c r="C114" s="34"/>
      <c r="D114" s="34"/>
      <c r="E114" s="34"/>
      <c r="F114" s="35"/>
      <c r="G114" s="35"/>
      <c r="H114" s="35"/>
      <c r="I114" s="36"/>
      <c r="J114" s="36"/>
      <c r="K114" s="36"/>
      <c r="L114" s="126">
        <f t="shared" si="26"/>
        <v>0</v>
      </c>
      <c r="M114" s="126">
        <f t="shared" si="26"/>
        <v>0</v>
      </c>
      <c r="N114" s="126">
        <f t="shared" si="26"/>
        <v>0</v>
      </c>
      <c r="O114" s="159"/>
      <c r="P114" s="159"/>
      <c r="Q114" s="159"/>
      <c r="R114" s="159"/>
      <c r="S114" s="159"/>
      <c r="AS114" s="40"/>
      <c r="AT114" s="41"/>
      <c r="AU114" s="38"/>
      <c r="AV114" s="38"/>
      <c r="AW114" s="38"/>
      <c r="AX114" s="38"/>
    </row>
    <row r="115" spans="1:50" ht="15" customHeight="1">
      <c r="A115" s="379"/>
      <c r="B115" s="12" t="s">
        <v>16</v>
      </c>
      <c r="C115" s="34"/>
      <c r="D115" s="34"/>
      <c r="E115" s="34"/>
      <c r="F115" s="35"/>
      <c r="G115" s="35"/>
      <c r="H115" s="35"/>
      <c r="I115" s="36"/>
      <c r="J115" s="36"/>
      <c r="K115" s="36"/>
      <c r="L115" s="126">
        <f t="shared" si="26"/>
        <v>0</v>
      </c>
      <c r="M115" s="126">
        <f t="shared" si="26"/>
        <v>0</v>
      </c>
      <c r="N115" s="126">
        <f t="shared" si="26"/>
        <v>0</v>
      </c>
      <c r="O115" s="159"/>
      <c r="P115" s="159"/>
      <c r="Q115" s="159"/>
      <c r="R115" s="159"/>
      <c r="S115" s="159"/>
      <c r="AS115" s="40"/>
      <c r="AT115" s="41"/>
      <c r="AU115" s="38"/>
      <c r="AV115" s="38"/>
      <c r="AW115" s="38"/>
      <c r="AX115" s="38"/>
    </row>
    <row r="116" spans="1:50" ht="15" customHeight="1">
      <c r="A116" s="379" t="s">
        <v>929</v>
      </c>
      <c r="B116" s="12" t="s">
        <v>15</v>
      </c>
      <c r="C116" s="34">
        <v>7</v>
      </c>
      <c r="D116" s="34"/>
      <c r="E116" s="34"/>
      <c r="F116" s="35">
        <v>11</v>
      </c>
      <c r="G116" s="35"/>
      <c r="H116" s="35"/>
      <c r="I116" s="36">
        <v>16</v>
      </c>
      <c r="J116" s="36"/>
      <c r="K116" s="36"/>
      <c r="L116" s="126">
        <f t="shared" si="26"/>
        <v>34</v>
      </c>
      <c r="M116" s="126">
        <f t="shared" si="26"/>
        <v>0</v>
      </c>
      <c r="N116" s="126">
        <f t="shared" si="26"/>
        <v>0</v>
      </c>
      <c r="O116" s="159"/>
      <c r="P116" s="159"/>
      <c r="Q116" s="159"/>
      <c r="R116" s="159"/>
      <c r="S116" s="159"/>
      <c r="AS116" s="40"/>
      <c r="AT116" s="41"/>
      <c r="AU116" s="38"/>
      <c r="AV116" s="38"/>
      <c r="AW116" s="38"/>
      <c r="AX116" s="38"/>
    </row>
    <row r="117" spans="1:50" ht="15" customHeight="1">
      <c r="A117" s="379"/>
      <c r="B117" s="12" t="s">
        <v>16</v>
      </c>
      <c r="C117" s="34">
        <v>3</v>
      </c>
      <c r="D117" s="34"/>
      <c r="E117" s="34"/>
      <c r="F117" s="35">
        <v>7</v>
      </c>
      <c r="G117" s="35"/>
      <c r="H117" s="35"/>
      <c r="I117" s="36">
        <v>15</v>
      </c>
      <c r="J117" s="36"/>
      <c r="K117" s="36"/>
      <c r="L117" s="126">
        <f t="shared" si="26"/>
        <v>25</v>
      </c>
      <c r="M117" s="126">
        <f t="shared" si="26"/>
        <v>0</v>
      </c>
      <c r="N117" s="126">
        <f t="shared" si="26"/>
        <v>0</v>
      </c>
      <c r="O117" s="159"/>
      <c r="P117" s="159"/>
      <c r="Q117" s="159"/>
      <c r="R117" s="159"/>
      <c r="S117" s="159"/>
      <c r="AS117" s="40"/>
      <c r="AT117" s="41"/>
      <c r="AU117" s="38"/>
      <c r="AV117" s="38"/>
      <c r="AW117" s="38"/>
      <c r="AX117" s="38"/>
    </row>
    <row r="118" spans="1:50" ht="15" customHeight="1">
      <c r="A118" s="380" t="s">
        <v>49</v>
      </c>
      <c r="B118" s="11" t="s">
        <v>15</v>
      </c>
      <c r="C118" s="34">
        <v>4</v>
      </c>
      <c r="D118" s="34"/>
      <c r="E118" s="34"/>
      <c r="F118" s="35">
        <v>0</v>
      </c>
      <c r="G118" s="35"/>
      <c r="H118" s="35"/>
      <c r="I118" s="36">
        <v>9</v>
      </c>
      <c r="J118" s="36"/>
      <c r="K118" s="36"/>
      <c r="L118" s="126">
        <f t="shared" si="26"/>
        <v>13</v>
      </c>
      <c r="M118" s="126">
        <f t="shared" si="26"/>
        <v>0</v>
      </c>
      <c r="N118" s="126">
        <f t="shared" si="26"/>
        <v>0</v>
      </c>
      <c r="O118" s="365"/>
      <c r="P118" s="365"/>
      <c r="Q118" s="365"/>
      <c r="R118" s="365"/>
      <c r="S118" s="365"/>
      <c r="AS118" s="40" t="s">
        <v>223</v>
      </c>
      <c r="AT118" s="41" t="s">
        <v>255</v>
      </c>
      <c r="AU118" s="38"/>
      <c r="AV118" s="38"/>
      <c r="AW118" s="38"/>
      <c r="AX118" s="38"/>
    </row>
    <row r="119" spans="1:50" ht="15" customHeight="1">
      <c r="A119" s="380"/>
      <c r="B119" s="11" t="s">
        <v>16</v>
      </c>
      <c r="C119" s="34">
        <v>3</v>
      </c>
      <c r="D119" s="34"/>
      <c r="E119" s="34"/>
      <c r="F119" s="35">
        <v>2</v>
      </c>
      <c r="G119" s="35"/>
      <c r="H119" s="35"/>
      <c r="I119" s="36">
        <v>6</v>
      </c>
      <c r="J119" s="36"/>
      <c r="K119" s="36"/>
      <c r="L119" s="126">
        <f t="shared" si="26"/>
        <v>11</v>
      </c>
      <c r="M119" s="126">
        <f t="shared" si="26"/>
        <v>0</v>
      </c>
      <c r="N119" s="126">
        <f t="shared" si="26"/>
        <v>0</v>
      </c>
      <c r="O119" s="365"/>
      <c r="P119" s="365"/>
      <c r="Q119" s="365"/>
      <c r="R119" s="365"/>
      <c r="S119" s="365"/>
      <c r="AS119" s="40" t="s">
        <v>223</v>
      </c>
      <c r="AT119" s="41" t="s">
        <v>256</v>
      </c>
      <c r="AU119" s="38"/>
      <c r="AV119" s="38"/>
      <c r="AW119" s="38"/>
      <c r="AX119" s="38"/>
    </row>
    <row r="120" spans="1:50" ht="15" customHeight="1">
      <c r="A120" s="380" t="s">
        <v>122</v>
      </c>
      <c r="B120" s="11" t="s">
        <v>15</v>
      </c>
      <c r="C120" s="34"/>
      <c r="D120" s="34"/>
      <c r="E120" s="34"/>
      <c r="F120" s="35"/>
      <c r="G120" s="35"/>
      <c r="H120" s="35"/>
      <c r="I120" s="36"/>
      <c r="J120" s="36">
        <v>2</v>
      </c>
      <c r="K120" s="36"/>
      <c r="L120" s="126">
        <f t="shared" si="26"/>
        <v>0</v>
      </c>
      <c r="M120" s="126">
        <f t="shared" si="26"/>
        <v>2</v>
      </c>
      <c r="N120" s="126">
        <f t="shared" si="26"/>
        <v>0</v>
      </c>
      <c r="O120" s="365"/>
      <c r="P120" s="365"/>
      <c r="Q120" s="365"/>
      <c r="R120" s="365"/>
      <c r="S120" s="365"/>
      <c r="AS120" s="40" t="s">
        <v>223</v>
      </c>
      <c r="AT120" s="41" t="s">
        <v>257</v>
      </c>
      <c r="AU120" s="38"/>
      <c r="AV120" s="38"/>
      <c r="AW120" s="38"/>
      <c r="AX120" s="38"/>
    </row>
    <row r="121" spans="1:50" ht="15" customHeight="1">
      <c r="A121" s="380"/>
      <c r="B121" s="11" t="s">
        <v>16</v>
      </c>
      <c r="C121" s="34"/>
      <c r="D121" s="34"/>
      <c r="E121" s="34"/>
      <c r="F121" s="35"/>
      <c r="G121" s="35"/>
      <c r="H121" s="35"/>
      <c r="I121" s="36"/>
      <c r="J121" s="36">
        <v>1</v>
      </c>
      <c r="K121" s="36"/>
      <c r="L121" s="126">
        <f t="shared" si="26"/>
        <v>0</v>
      </c>
      <c r="M121" s="126">
        <f t="shared" si="26"/>
        <v>1</v>
      </c>
      <c r="N121" s="126">
        <f t="shared" si="26"/>
        <v>0</v>
      </c>
      <c r="O121" s="365"/>
      <c r="P121" s="365"/>
      <c r="Q121" s="365"/>
      <c r="R121" s="365"/>
      <c r="S121" s="365"/>
      <c r="AS121" s="40" t="s">
        <v>223</v>
      </c>
      <c r="AT121" s="41" t="s">
        <v>258</v>
      </c>
      <c r="AU121" s="38"/>
      <c r="AV121" s="38"/>
      <c r="AW121" s="38"/>
      <c r="AX121" s="38"/>
    </row>
    <row r="122" spans="1:50" ht="15" customHeight="1">
      <c r="A122" s="380" t="s">
        <v>123</v>
      </c>
      <c r="B122" s="11" t="s">
        <v>15</v>
      </c>
      <c r="C122" s="128"/>
      <c r="D122" s="128"/>
      <c r="E122" s="128"/>
      <c r="F122" s="128"/>
      <c r="G122" s="128"/>
      <c r="H122" s="128"/>
      <c r="I122" s="36"/>
      <c r="J122" s="36"/>
      <c r="K122" s="36"/>
      <c r="L122" s="126">
        <f t="shared" si="26"/>
        <v>0</v>
      </c>
      <c r="M122" s="126">
        <f t="shared" si="26"/>
        <v>0</v>
      </c>
      <c r="N122" s="126">
        <f t="shared" si="26"/>
        <v>0</v>
      </c>
      <c r="O122" s="365"/>
      <c r="P122" s="365"/>
      <c r="Q122" s="365"/>
      <c r="R122" s="365"/>
      <c r="S122" s="365"/>
      <c r="AS122" s="40" t="s">
        <v>223</v>
      </c>
      <c r="AT122" s="41" t="s">
        <v>259</v>
      </c>
      <c r="AU122" s="38"/>
      <c r="AV122" s="38"/>
      <c r="AW122" s="38"/>
      <c r="AX122" s="38"/>
    </row>
    <row r="123" spans="1:50" ht="15" customHeight="1">
      <c r="A123" s="380"/>
      <c r="B123" s="11" t="s">
        <v>16</v>
      </c>
      <c r="C123" s="128"/>
      <c r="D123" s="128"/>
      <c r="E123" s="128"/>
      <c r="F123" s="128"/>
      <c r="G123" s="128"/>
      <c r="H123" s="128"/>
      <c r="I123" s="36"/>
      <c r="J123" s="36"/>
      <c r="K123" s="36"/>
      <c r="L123" s="126">
        <f t="shared" si="26"/>
        <v>0</v>
      </c>
      <c r="M123" s="126">
        <f t="shared" si="26"/>
        <v>0</v>
      </c>
      <c r="N123" s="126">
        <f t="shared" si="26"/>
        <v>0</v>
      </c>
      <c r="O123" s="365"/>
      <c r="P123" s="365"/>
      <c r="Q123" s="365"/>
      <c r="R123" s="365"/>
      <c r="S123" s="365"/>
      <c r="AS123" s="40" t="s">
        <v>223</v>
      </c>
      <c r="AT123" s="41" t="s">
        <v>260</v>
      </c>
      <c r="AU123" s="38"/>
      <c r="AV123" s="38"/>
      <c r="AW123" s="38"/>
      <c r="AX123" s="38"/>
    </row>
    <row r="124" spans="1:50" ht="15" customHeight="1">
      <c r="A124" s="380" t="s">
        <v>124</v>
      </c>
      <c r="B124" s="11" t="s">
        <v>15</v>
      </c>
      <c r="C124" s="34">
        <v>0</v>
      </c>
      <c r="D124" s="34"/>
      <c r="E124" s="34"/>
      <c r="F124" s="35"/>
      <c r="G124" s="35"/>
      <c r="H124" s="35"/>
      <c r="I124" s="36"/>
      <c r="J124" s="36"/>
      <c r="K124" s="36"/>
      <c r="L124" s="126">
        <f t="shared" si="26"/>
        <v>0</v>
      </c>
      <c r="M124" s="126">
        <f t="shared" si="26"/>
        <v>0</v>
      </c>
      <c r="N124" s="126">
        <f t="shared" si="26"/>
        <v>0</v>
      </c>
      <c r="O124" s="365"/>
      <c r="P124" s="365"/>
      <c r="Q124" s="365"/>
      <c r="R124" s="365"/>
      <c r="S124" s="365"/>
      <c r="AS124" s="40" t="s">
        <v>223</v>
      </c>
      <c r="AT124" s="41" t="s">
        <v>261</v>
      </c>
      <c r="AU124" s="38"/>
      <c r="AV124" s="38"/>
      <c r="AW124" s="38"/>
      <c r="AX124" s="38"/>
    </row>
    <row r="125" spans="1:50" ht="15" customHeight="1">
      <c r="A125" s="380"/>
      <c r="B125" s="11" t="s">
        <v>16</v>
      </c>
      <c r="C125" s="34">
        <v>0</v>
      </c>
      <c r="D125" s="34"/>
      <c r="E125" s="34"/>
      <c r="F125" s="35"/>
      <c r="G125" s="35"/>
      <c r="H125" s="35"/>
      <c r="I125" s="36"/>
      <c r="J125" s="36"/>
      <c r="K125" s="36"/>
      <c r="L125" s="126">
        <f t="shared" si="26"/>
        <v>0</v>
      </c>
      <c r="M125" s="126">
        <f t="shared" si="26"/>
        <v>0</v>
      </c>
      <c r="N125" s="126">
        <f t="shared" si="26"/>
        <v>0</v>
      </c>
      <c r="O125" s="365"/>
      <c r="P125" s="365"/>
      <c r="Q125" s="365"/>
      <c r="R125" s="365"/>
      <c r="S125" s="365"/>
      <c r="AS125" s="40" t="s">
        <v>262</v>
      </c>
      <c r="AT125" s="41" t="s">
        <v>262</v>
      </c>
      <c r="AU125" s="38"/>
      <c r="AV125" s="38"/>
      <c r="AW125" s="38"/>
      <c r="AX125" s="38"/>
    </row>
    <row r="126" spans="1:50" ht="15" customHeight="1">
      <c r="A126" s="380" t="s">
        <v>53</v>
      </c>
      <c r="B126" s="11" t="s">
        <v>15</v>
      </c>
      <c r="C126" s="34">
        <v>6</v>
      </c>
      <c r="D126" s="34"/>
      <c r="E126" s="34"/>
      <c r="F126" s="35">
        <v>6</v>
      </c>
      <c r="G126" s="35"/>
      <c r="H126" s="35"/>
      <c r="I126" s="36">
        <v>75</v>
      </c>
      <c r="J126" s="36"/>
      <c r="K126" s="36"/>
      <c r="L126" s="126">
        <f t="shared" si="26"/>
        <v>87</v>
      </c>
      <c r="M126" s="126">
        <f t="shared" si="26"/>
        <v>0</v>
      </c>
      <c r="N126" s="126">
        <f t="shared" si="26"/>
        <v>0</v>
      </c>
      <c r="O126" s="365"/>
      <c r="P126" s="365"/>
      <c r="Q126" s="365"/>
      <c r="R126" s="365"/>
      <c r="S126" s="365"/>
      <c r="AS126" s="40" t="s">
        <v>263</v>
      </c>
      <c r="AT126" s="41" t="s">
        <v>264</v>
      </c>
      <c r="AU126" s="38"/>
      <c r="AV126" s="38"/>
      <c r="AW126" s="38"/>
      <c r="AX126" s="38"/>
    </row>
    <row r="127" spans="1:50" ht="15" customHeight="1">
      <c r="A127" s="380"/>
      <c r="B127" s="11" t="s">
        <v>16</v>
      </c>
      <c r="C127" s="34">
        <v>7</v>
      </c>
      <c r="D127" s="34"/>
      <c r="E127" s="34"/>
      <c r="F127" s="35">
        <v>4</v>
      </c>
      <c r="G127" s="35"/>
      <c r="H127" s="35"/>
      <c r="I127" s="36">
        <v>65</v>
      </c>
      <c r="J127" s="36"/>
      <c r="K127" s="36"/>
      <c r="L127" s="126">
        <f t="shared" si="26"/>
        <v>76</v>
      </c>
      <c r="M127" s="126">
        <f t="shared" si="26"/>
        <v>0</v>
      </c>
      <c r="N127" s="126">
        <f t="shared" si="26"/>
        <v>0</v>
      </c>
      <c r="O127" s="365"/>
      <c r="P127" s="365"/>
      <c r="Q127" s="365"/>
      <c r="R127" s="365"/>
      <c r="S127" s="365"/>
      <c r="AS127" s="40" t="s">
        <v>263</v>
      </c>
      <c r="AT127" s="41" t="s">
        <v>265</v>
      </c>
      <c r="AU127" s="38"/>
      <c r="AV127" s="38"/>
      <c r="AW127" s="38"/>
      <c r="AX127" s="38"/>
    </row>
    <row r="128" spans="1:50" ht="15" customHeight="1">
      <c r="A128" s="380" t="s">
        <v>125</v>
      </c>
      <c r="B128" s="11" t="s">
        <v>15</v>
      </c>
      <c r="C128" s="34"/>
      <c r="D128" s="34"/>
      <c r="E128" s="34"/>
      <c r="F128" s="35"/>
      <c r="G128" s="35"/>
      <c r="H128" s="35">
        <v>1</v>
      </c>
      <c r="I128" s="36"/>
      <c r="J128" s="36"/>
      <c r="K128" s="36"/>
      <c r="L128" s="126">
        <f t="shared" si="26"/>
        <v>0</v>
      </c>
      <c r="M128" s="126">
        <f t="shared" si="26"/>
        <v>0</v>
      </c>
      <c r="N128" s="126">
        <f t="shared" si="26"/>
        <v>1</v>
      </c>
      <c r="O128" s="365"/>
      <c r="P128" s="365"/>
      <c r="Q128" s="365"/>
      <c r="R128" s="365"/>
      <c r="S128" s="365"/>
      <c r="AS128" s="40" t="s">
        <v>263</v>
      </c>
      <c r="AT128" s="41" t="s">
        <v>266</v>
      </c>
      <c r="AU128" s="38"/>
      <c r="AV128" s="38"/>
      <c r="AW128" s="38"/>
      <c r="AX128" s="38"/>
    </row>
    <row r="129" spans="1:50" ht="15" customHeight="1">
      <c r="A129" s="380"/>
      <c r="B129" s="11" t="s">
        <v>16</v>
      </c>
      <c r="C129" s="34"/>
      <c r="D129" s="34"/>
      <c r="E129" s="34"/>
      <c r="F129" s="35"/>
      <c r="G129" s="35"/>
      <c r="H129" s="35">
        <v>1</v>
      </c>
      <c r="I129" s="36"/>
      <c r="J129" s="36"/>
      <c r="K129" s="36"/>
      <c r="L129" s="126">
        <f t="shared" si="26"/>
        <v>0</v>
      </c>
      <c r="M129" s="126">
        <f t="shared" si="26"/>
        <v>0</v>
      </c>
      <c r="N129" s="126">
        <f t="shared" si="26"/>
        <v>1</v>
      </c>
      <c r="O129" s="365"/>
      <c r="P129" s="365"/>
      <c r="Q129" s="365"/>
      <c r="R129" s="365"/>
      <c r="S129" s="365"/>
      <c r="AS129" s="40" t="s">
        <v>263</v>
      </c>
      <c r="AT129" s="41" t="s">
        <v>267</v>
      </c>
      <c r="AU129" s="38"/>
      <c r="AV129" s="38"/>
      <c r="AW129" s="38"/>
      <c r="AX129" s="38"/>
    </row>
    <row r="130" spans="1:50" ht="15" customHeight="1">
      <c r="A130" s="382" t="s">
        <v>930</v>
      </c>
      <c r="B130" s="11" t="s">
        <v>15</v>
      </c>
      <c r="C130" s="34"/>
      <c r="D130" s="34"/>
      <c r="E130" s="34"/>
      <c r="F130" s="35"/>
      <c r="G130" s="35"/>
      <c r="H130" s="35"/>
      <c r="I130" s="36"/>
      <c r="J130" s="36"/>
      <c r="K130" s="36"/>
      <c r="L130" s="126">
        <f t="shared" si="26"/>
        <v>0</v>
      </c>
      <c r="M130" s="126">
        <f t="shared" si="26"/>
        <v>0</v>
      </c>
      <c r="N130" s="126">
        <f t="shared" si="26"/>
        <v>0</v>
      </c>
      <c r="O130" s="159"/>
      <c r="P130" s="159"/>
      <c r="Q130" s="159"/>
      <c r="R130" s="159"/>
      <c r="S130" s="159"/>
      <c r="AS130" s="40"/>
      <c r="AT130" s="41"/>
      <c r="AU130" s="38"/>
      <c r="AV130" s="38"/>
      <c r="AW130" s="38"/>
      <c r="AX130" s="38"/>
    </row>
    <row r="131" spans="1:50" ht="15" customHeight="1">
      <c r="A131" s="382"/>
      <c r="B131" s="11" t="s">
        <v>16</v>
      </c>
      <c r="C131" s="34"/>
      <c r="D131" s="34"/>
      <c r="E131" s="34"/>
      <c r="F131" s="35"/>
      <c r="G131" s="35"/>
      <c r="H131" s="35"/>
      <c r="I131" s="36"/>
      <c r="J131" s="36"/>
      <c r="K131" s="36"/>
      <c r="L131" s="126">
        <f t="shared" si="26"/>
        <v>0</v>
      </c>
      <c r="M131" s="126">
        <f t="shared" si="26"/>
        <v>0</v>
      </c>
      <c r="N131" s="126">
        <f t="shared" si="26"/>
        <v>0</v>
      </c>
      <c r="O131" s="159"/>
      <c r="P131" s="159"/>
      <c r="Q131" s="159"/>
      <c r="R131" s="159"/>
      <c r="S131" s="159"/>
      <c r="AS131" s="40"/>
      <c r="AT131" s="41"/>
      <c r="AU131" s="38"/>
      <c r="AV131" s="38"/>
      <c r="AW131" s="38"/>
      <c r="AX131" s="38"/>
    </row>
    <row r="132" spans="1:50" ht="15" customHeight="1">
      <c r="A132" s="382" t="s">
        <v>932</v>
      </c>
      <c r="B132" s="11" t="s">
        <v>15</v>
      </c>
      <c r="C132" s="34"/>
      <c r="D132" s="34"/>
      <c r="E132" s="34"/>
      <c r="F132" s="35"/>
      <c r="G132" s="35"/>
      <c r="H132" s="35"/>
      <c r="I132" s="36"/>
      <c r="J132" s="36"/>
      <c r="K132" s="36"/>
      <c r="L132" s="126">
        <f t="shared" si="26"/>
        <v>0</v>
      </c>
      <c r="M132" s="126">
        <f t="shared" si="26"/>
        <v>0</v>
      </c>
      <c r="N132" s="126">
        <f t="shared" si="26"/>
        <v>0</v>
      </c>
      <c r="O132" s="159"/>
      <c r="P132" s="159"/>
      <c r="Q132" s="159"/>
      <c r="R132" s="159"/>
      <c r="S132" s="159"/>
      <c r="AS132" s="40"/>
      <c r="AT132" s="41"/>
      <c r="AU132" s="38"/>
      <c r="AV132" s="38"/>
      <c r="AW132" s="38"/>
      <c r="AX132" s="38"/>
    </row>
    <row r="133" spans="1:50" ht="15" customHeight="1">
      <c r="A133" s="382"/>
      <c r="B133" s="11" t="s">
        <v>16</v>
      </c>
      <c r="C133" s="34"/>
      <c r="D133" s="34"/>
      <c r="E133" s="34"/>
      <c r="F133" s="35"/>
      <c r="G133" s="35"/>
      <c r="H133" s="35"/>
      <c r="I133" s="36"/>
      <c r="J133" s="36"/>
      <c r="K133" s="36"/>
      <c r="L133" s="126">
        <f t="shared" si="26"/>
        <v>0</v>
      </c>
      <c r="M133" s="126">
        <f t="shared" si="26"/>
        <v>0</v>
      </c>
      <c r="N133" s="126">
        <f t="shared" si="26"/>
        <v>0</v>
      </c>
      <c r="O133" s="159"/>
      <c r="P133" s="159"/>
      <c r="Q133" s="159"/>
      <c r="R133" s="159"/>
      <c r="S133" s="159"/>
      <c r="AS133" s="40"/>
      <c r="AT133" s="41"/>
      <c r="AU133" s="38"/>
      <c r="AV133" s="38"/>
      <c r="AW133" s="38"/>
      <c r="AX133" s="38"/>
    </row>
    <row r="134" spans="1:50" ht="15" customHeight="1">
      <c r="A134" s="382" t="s">
        <v>931</v>
      </c>
      <c r="B134" s="11" t="s">
        <v>15</v>
      </c>
      <c r="C134" s="34"/>
      <c r="D134" s="34"/>
      <c r="E134" s="34"/>
      <c r="F134" s="35"/>
      <c r="G134" s="35"/>
      <c r="H134" s="35"/>
      <c r="I134" s="36"/>
      <c r="J134" s="36"/>
      <c r="K134" s="36"/>
      <c r="L134" s="126">
        <f t="shared" si="26"/>
        <v>0</v>
      </c>
      <c r="M134" s="126">
        <f t="shared" si="26"/>
        <v>0</v>
      </c>
      <c r="N134" s="126">
        <f t="shared" si="26"/>
        <v>0</v>
      </c>
      <c r="O134" s="159"/>
      <c r="P134" s="159"/>
      <c r="Q134" s="159"/>
      <c r="R134" s="159"/>
      <c r="S134" s="159"/>
      <c r="AS134" s="40"/>
      <c r="AT134" s="41"/>
      <c r="AU134" s="38"/>
      <c r="AV134" s="38"/>
      <c r="AW134" s="38"/>
      <c r="AX134" s="38"/>
    </row>
    <row r="135" spans="1:50" ht="15" customHeight="1">
      <c r="A135" s="382"/>
      <c r="B135" s="11" t="s">
        <v>16</v>
      </c>
      <c r="C135" s="34"/>
      <c r="D135" s="34"/>
      <c r="E135" s="34"/>
      <c r="F135" s="35"/>
      <c r="G135" s="35"/>
      <c r="H135" s="35"/>
      <c r="I135" s="36"/>
      <c r="J135" s="36"/>
      <c r="K135" s="36"/>
      <c r="L135" s="126">
        <f t="shared" si="26"/>
        <v>0</v>
      </c>
      <c r="M135" s="126">
        <f t="shared" si="26"/>
        <v>0</v>
      </c>
      <c r="N135" s="126">
        <f t="shared" si="26"/>
        <v>0</v>
      </c>
      <c r="O135" s="159"/>
      <c r="P135" s="159"/>
      <c r="Q135" s="159"/>
      <c r="R135" s="159"/>
      <c r="S135" s="159"/>
      <c r="AS135" s="40"/>
      <c r="AT135" s="41"/>
      <c r="AU135" s="38"/>
      <c r="AV135" s="38"/>
      <c r="AW135" s="38"/>
      <c r="AX135" s="38"/>
    </row>
    <row r="136" spans="1:50" ht="15" customHeight="1">
      <c r="A136" s="381" t="s">
        <v>55</v>
      </c>
      <c r="B136" s="121" t="s">
        <v>15</v>
      </c>
      <c r="C136" s="34"/>
      <c r="D136" s="34"/>
      <c r="E136" s="34"/>
      <c r="F136" s="35"/>
      <c r="G136" s="35"/>
      <c r="H136" s="35">
        <v>0</v>
      </c>
      <c r="I136" s="36">
        <v>16</v>
      </c>
      <c r="J136" s="36"/>
      <c r="K136" s="36"/>
      <c r="L136" s="126">
        <f t="shared" si="26"/>
        <v>16</v>
      </c>
      <c r="M136" s="126">
        <f t="shared" si="26"/>
        <v>0</v>
      </c>
      <c r="N136" s="126">
        <f t="shared" si="26"/>
        <v>0</v>
      </c>
      <c r="O136" s="365"/>
      <c r="P136" s="365"/>
      <c r="Q136" s="365"/>
      <c r="R136" s="365"/>
      <c r="S136" s="365"/>
      <c r="AS136" s="40" t="s">
        <v>263</v>
      </c>
      <c r="AT136" s="41" t="s">
        <v>268</v>
      </c>
      <c r="AU136" s="38"/>
      <c r="AV136" s="38"/>
      <c r="AW136" s="38"/>
      <c r="AX136" s="38"/>
    </row>
    <row r="137" spans="1:50" ht="15" customHeight="1">
      <c r="A137" s="381"/>
      <c r="B137" s="121" t="s">
        <v>16</v>
      </c>
      <c r="C137" s="34"/>
      <c r="D137" s="34"/>
      <c r="E137" s="34"/>
      <c r="F137" s="35"/>
      <c r="G137" s="35"/>
      <c r="H137" s="35"/>
      <c r="I137" s="36">
        <v>23</v>
      </c>
      <c r="J137" s="36"/>
      <c r="K137" s="36"/>
      <c r="L137" s="126">
        <f t="shared" si="26"/>
        <v>23</v>
      </c>
      <c r="M137" s="126">
        <f t="shared" si="26"/>
        <v>0</v>
      </c>
      <c r="N137" s="126">
        <f t="shared" si="26"/>
        <v>0</v>
      </c>
      <c r="O137" s="365"/>
      <c r="P137" s="365"/>
      <c r="Q137" s="365"/>
      <c r="R137" s="365"/>
      <c r="S137" s="365"/>
      <c r="AS137" s="40" t="s">
        <v>263</v>
      </c>
      <c r="AT137" s="41" t="s">
        <v>269</v>
      </c>
      <c r="AU137" s="38"/>
      <c r="AV137" s="38"/>
      <c r="AW137" s="38"/>
      <c r="AX137" s="38"/>
    </row>
    <row r="138" spans="1:50" ht="15" customHeight="1">
      <c r="A138" s="381" t="s">
        <v>56</v>
      </c>
      <c r="B138" s="121" t="s">
        <v>15</v>
      </c>
      <c r="C138" s="34"/>
      <c r="D138" s="34"/>
      <c r="E138" s="34"/>
      <c r="F138" s="35"/>
      <c r="G138" s="35"/>
      <c r="H138" s="35">
        <v>0</v>
      </c>
      <c r="I138" s="36"/>
      <c r="J138" s="36"/>
      <c r="K138" s="36"/>
      <c r="L138" s="126">
        <f t="shared" si="26"/>
        <v>0</v>
      </c>
      <c r="M138" s="126">
        <f t="shared" si="26"/>
        <v>0</v>
      </c>
      <c r="N138" s="126">
        <f t="shared" si="26"/>
        <v>0</v>
      </c>
      <c r="O138" s="365"/>
      <c r="P138" s="365"/>
      <c r="Q138" s="365"/>
      <c r="R138" s="365"/>
      <c r="S138" s="365"/>
      <c r="AS138" s="40" t="s">
        <v>263</v>
      </c>
      <c r="AT138" s="41" t="s">
        <v>270</v>
      </c>
      <c r="AU138" s="38"/>
      <c r="AV138" s="38"/>
      <c r="AW138" s="38"/>
      <c r="AX138" s="38"/>
    </row>
    <row r="139" spans="1:50" ht="15" customHeight="1">
      <c r="A139" s="381"/>
      <c r="B139" s="121" t="s">
        <v>16</v>
      </c>
      <c r="C139" s="34"/>
      <c r="D139" s="34"/>
      <c r="E139" s="34"/>
      <c r="F139" s="35"/>
      <c r="G139" s="35"/>
      <c r="H139" s="35"/>
      <c r="I139" s="36"/>
      <c r="J139" s="36"/>
      <c r="K139" s="36"/>
      <c r="L139" s="126">
        <f t="shared" si="26"/>
        <v>0</v>
      </c>
      <c r="M139" s="126">
        <f t="shared" si="26"/>
        <v>0</v>
      </c>
      <c r="N139" s="126">
        <f t="shared" si="26"/>
        <v>0</v>
      </c>
      <c r="O139" s="365"/>
      <c r="P139" s="365"/>
      <c r="Q139" s="365"/>
      <c r="R139" s="365"/>
      <c r="S139" s="365"/>
      <c r="AS139" s="40" t="s">
        <v>263</v>
      </c>
      <c r="AT139" s="41" t="s">
        <v>271</v>
      </c>
      <c r="AU139" s="38"/>
      <c r="AV139" s="38"/>
      <c r="AW139" s="38"/>
      <c r="AX139" s="38"/>
    </row>
    <row r="140" spans="1:50" ht="15" customHeight="1">
      <c r="A140" s="381" t="s">
        <v>57</v>
      </c>
      <c r="B140" s="121" t="s">
        <v>15</v>
      </c>
      <c r="C140" s="34"/>
      <c r="D140" s="34"/>
      <c r="E140" s="34"/>
      <c r="F140" s="35"/>
      <c r="G140" s="35"/>
      <c r="H140" s="35"/>
      <c r="I140" s="36"/>
      <c r="J140" s="36"/>
      <c r="K140" s="36"/>
      <c r="L140" s="126">
        <f t="shared" si="26"/>
        <v>0</v>
      </c>
      <c r="M140" s="126">
        <f t="shared" si="26"/>
        <v>0</v>
      </c>
      <c r="N140" s="126">
        <f t="shared" si="26"/>
        <v>0</v>
      </c>
      <c r="O140" s="365"/>
      <c r="P140" s="365"/>
      <c r="Q140" s="365"/>
      <c r="R140" s="365"/>
      <c r="S140" s="365"/>
      <c r="AS140" s="40" t="s">
        <v>263</v>
      </c>
      <c r="AT140" s="41" t="s">
        <v>272</v>
      </c>
      <c r="AU140" s="38"/>
      <c r="AV140" s="38"/>
      <c r="AW140" s="38"/>
      <c r="AX140" s="38"/>
    </row>
    <row r="141" spans="1:50" ht="15" customHeight="1">
      <c r="A141" s="381"/>
      <c r="B141" s="121" t="s">
        <v>16</v>
      </c>
      <c r="C141" s="34"/>
      <c r="D141" s="34"/>
      <c r="E141" s="34"/>
      <c r="F141" s="35"/>
      <c r="G141" s="35"/>
      <c r="H141" s="35"/>
      <c r="I141" s="36"/>
      <c r="J141" s="36"/>
      <c r="K141" s="36"/>
      <c r="L141" s="126">
        <f t="shared" si="26"/>
        <v>0</v>
      </c>
      <c r="M141" s="126">
        <f t="shared" si="26"/>
        <v>0</v>
      </c>
      <c r="N141" s="126">
        <f t="shared" si="26"/>
        <v>0</v>
      </c>
      <c r="O141" s="365"/>
      <c r="P141" s="365"/>
      <c r="Q141" s="365"/>
      <c r="R141" s="365"/>
      <c r="S141" s="365"/>
      <c r="AS141" s="40" t="s">
        <v>263</v>
      </c>
      <c r="AT141" s="41" t="s">
        <v>273</v>
      </c>
      <c r="AU141" s="38"/>
      <c r="AV141" s="38"/>
      <c r="AW141" s="38"/>
      <c r="AX141" s="38"/>
    </row>
    <row r="142" spans="1:50" ht="15" customHeight="1">
      <c r="A142" s="381" t="s">
        <v>58</v>
      </c>
      <c r="B142" s="121" t="s">
        <v>15</v>
      </c>
      <c r="C142" s="34"/>
      <c r="D142" s="34"/>
      <c r="E142" s="34"/>
      <c r="F142" s="35"/>
      <c r="G142" s="35"/>
      <c r="H142" s="35"/>
      <c r="I142" s="36"/>
      <c r="J142" s="36"/>
      <c r="K142" s="36"/>
      <c r="L142" s="126">
        <f t="shared" si="26"/>
        <v>0</v>
      </c>
      <c r="M142" s="126">
        <f t="shared" si="26"/>
        <v>0</v>
      </c>
      <c r="N142" s="126">
        <f t="shared" si="26"/>
        <v>0</v>
      </c>
      <c r="O142" s="365"/>
      <c r="P142" s="365"/>
      <c r="Q142" s="365"/>
      <c r="R142" s="365"/>
      <c r="S142" s="365"/>
      <c r="AS142" s="40" t="s">
        <v>263</v>
      </c>
      <c r="AT142" s="41" t="s">
        <v>274</v>
      </c>
      <c r="AU142" s="38"/>
      <c r="AV142" s="38"/>
      <c r="AW142" s="38"/>
      <c r="AX142" s="38"/>
    </row>
    <row r="143" spans="1:50" ht="15" customHeight="1">
      <c r="A143" s="381"/>
      <c r="B143" s="121" t="s">
        <v>16</v>
      </c>
      <c r="C143" s="34"/>
      <c r="D143" s="34"/>
      <c r="E143" s="34"/>
      <c r="F143" s="35"/>
      <c r="G143" s="35"/>
      <c r="H143" s="35">
        <v>1</v>
      </c>
      <c r="I143" s="36"/>
      <c r="J143" s="36"/>
      <c r="K143" s="36"/>
      <c r="L143" s="126">
        <f t="shared" si="26"/>
        <v>0</v>
      </c>
      <c r="M143" s="126">
        <f t="shared" si="26"/>
        <v>0</v>
      </c>
      <c r="N143" s="126">
        <f t="shared" si="26"/>
        <v>1</v>
      </c>
      <c r="O143" s="365"/>
      <c r="P143" s="365"/>
      <c r="Q143" s="365"/>
      <c r="R143" s="365"/>
      <c r="S143" s="365"/>
      <c r="AS143" s="40" t="s">
        <v>263</v>
      </c>
      <c r="AT143" s="41" t="s">
        <v>275</v>
      </c>
      <c r="AU143" s="38"/>
      <c r="AV143" s="38"/>
      <c r="AW143" s="38"/>
      <c r="AX143" s="38"/>
    </row>
    <row r="144" spans="1:50" ht="15" customHeight="1">
      <c r="A144" s="381" t="s">
        <v>59</v>
      </c>
      <c r="B144" s="121" t="s">
        <v>15</v>
      </c>
      <c r="C144" s="34"/>
      <c r="D144" s="34"/>
      <c r="E144" s="34"/>
      <c r="F144" s="35"/>
      <c r="G144" s="35"/>
      <c r="H144" s="35"/>
      <c r="I144" s="36"/>
      <c r="J144" s="36"/>
      <c r="K144" s="36"/>
      <c r="L144" s="126">
        <f t="shared" si="26"/>
        <v>0</v>
      </c>
      <c r="M144" s="126">
        <f t="shared" si="26"/>
        <v>0</v>
      </c>
      <c r="N144" s="126">
        <f t="shared" si="26"/>
        <v>0</v>
      </c>
      <c r="O144" s="365"/>
      <c r="P144" s="365"/>
      <c r="Q144" s="365"/>
      <c r="R144" s="365"/>
      <c r="S144" s="365"/>
      <c r="AS144" s="40" t="s">
        <v>263</v>
      </c>
      <c r="AT144" s="41" t="s">
        <v>276</v>
      </c>
      <c r="AU144" s="38"/>
      <c r="AV144" s="38"/>
      <c r="AW144" s="38"/>
      <c r="AX144" s="38"/>
    </row>
    <row r="145" spans="1:50" ht="15" customHeight="1">
      <c r="A145" s="381"/>
      <c r="B145" s="121" t="s">
        <v>16</v>
      </c>
      <c r="C145" s="34"/>
      <c r="D145" s="34"/>
      <c r="E145" s="34"/>
      <c r="F145" s="35"/>
      <c r="G145" s="35"/>
      <c r="H145" s="35"/>
      <c r="I145" s="36"/>
      <c r="J145" s="36"/>
      <c r="K145" s="36"/>
      <c r="L145" s="126">
        <f t="shared" si="26"/>
        <v>0</v>
      </c>
      <c r="M145" s="126">
        <f t="shared" si="26"/>
        <v>0</v>
      </c>
      <c r="N145" s="126">
        <f t="shared" si="26"/>
        <v>0</v>
      </c>
      <c r="O145" s="365"/>
      <c r="P145" s="365"/>
      <c r="Q145" s="365"/>
      <c r="R145" s="365"/>
      <c r="S145" s="365"/>
      <c r="AS145" s="40" t="s">
        <v>263</v>
      </c>
      <c r="AT145" s="41" t="s">
        <v>277</v>
      </c>
      <c r="AU145" s="38"/>
      <c r="AV145" s="38"/>
      <c r="AW145" s="38"/>
      <c r="AX145" s="38"/>
    </row>
    <row r="146" spans="1:50" ht="15" customHeight="1">
      <c r="A146" s="381" t="s">
        <v>60</v>
      </c>
      <c r="B146" s="121" t="s">
        <v>15</v>
      </c>
      <c r="C146" s="34"/>
      <c r="D146" s="34"/>
      <c r="E146" s="34">
        <v>2</v>
      </c>
      <c r="F146" s="35"/>
      <c r="G146" s="35"/>
      <c r="H146" s="35">
        <v>1</v>
      </c>
      <c r="I146" s="36"/>
      <c r="J146" s="36"/>
      <c r="K146" s="36">
        <v>11</v>
      </c>
      <c r="L146" s="126">
        <f t="shared" si="26"/>
        <v>0</v>
      </c>
      <c r="M146" s="126">
        <f t="shared" si="26"/>
        <v>0</v>
      </c>
      <c r="N146" s="126">
        <f t="shared" si="26"/>
        <v>14</v>
      </c>
      <c r="O146" s="365"/>
      <c r="P146" s="365"/>
      <c r="Q146" s="365"/>
      <c r="R146" s="365"/>
      <c r="S146" s="365"/>
      <c r="AS146" s="40" t="s">
        <v>263</v>
      </c>
      <c r="AT146" s="41" t="s">
        <v>278</v>
      </c>
      <c r="AU146" s="38"/>
      <c r="AV146" s="38"/>
      <c r="AW146" s="38"/>
      <c r="AX146" s="38"/>
    </row>
    <row r="147" spans="1:50" ht="15" customHeight="1">
      <c r="A147" s="381"/>
      <c r="B147" s="121" t="s">
        <v>16</v>
      </c>
      <c r="C147" s="34"/>
      <c r="D147" s="34"/>
      <c r="E147" s="34">
        <v>1</v>
      </c>
      <c r="F147" s="35"/>
      <c r="G147" s="35"/>
      <c r="H147" s="35">
        <v>0</v>
      </c>
      <c r="I147" s="36"/>
      <c r="J147" s="36"/>
      <c r="K147" s="36">
        <v>3</v>
      </c>
      <c r="L147" s="126">
        <f t="shared" si="26"/>
        <v>0</v>
      </c>
      <c r="M147" s="126">
        <f t="shared" si="26"/>
        <v>0</v>
      </c>
      <c r="N147" s="126">
        <f t="shared" si="26"/>
        <v>4</v>
      </c>
      <c r="O147" s="365"/>
      <c r="P147" s="365"/>
      <c r="Q147" s="365"/>
      <c r="R147" s="365"/>
      <c r="S147" s="365"/>
      <c r="AS147" s="40" t="s">
        <v>263</v>
      </c>
      <c r="AT147" s="41" t="s">
        <v>279</v>
      </c>
      <c r="AU147" s="38"/>
      <c r="AV147" s="38"/>
      <c r="AW147" s="38"/>
      <c r="AX147" s="38"/>
    </row>
    <row r="148" spans="1:50" ht="15" customHeight="1">
      <c r="A148" s="383" t="s">
        <v>126</v>
      </c>
      <c r="B148" s="121" t="s">
        <v>15</v>
      </c>
      <c r="C148" s="34"/>
      <c r="D148" s="34"/>
      <c r="E148" s="34"/>
      <c r="F148" s="35"/>
      <c r="G148" s="35"/>
      <c r="H148" s="35"/>
      <c r="I148" s="36"/>
      <c r="J148" s="36"/>
      <c r="K148" s="36"/>
      <c r="L148" s="126">
        <f t="shared" si="26"/>
        <v>0</v>
      </c>
      <c r="M148" s="126">
        <f t="shared" si="26"/>
        <v>0</v>
      </c>
      <c r="N148" s="126">
        <f t="shared" si="26"/>
        <v>0</v>
      </c>
      <c r="O148" s="365"/>
      <c r="P148" s="365"/>
      <c r="Q148" s="365"/>
      <c r="R148" s="365"/>
      <c r="S148" s="365"/>
      <c r="AS148" s="40" t="s">
        <v>263</v>
      </c>
      <c r="AT148" s="41" t="s">
        <v>280</v>
      </c>
      <c r="AU148" s="38"/>
      <c r="AV148" s="38"/>
      <c r="AW148" s="38"/>
      <c r="AX148" s="38"/>
    </row>
    <row r="149" spans="1:50" ht="15" customHeight="1">
      <c r="A149" s="381"/>
      <c r="B149" s="121" t="s">
        <v>16</v>
      </c>
      <c r="C149" s="34"/>
      <c r="D149" s="34"/>
      <c r="E149" s="34"/>
      <c r="F149" s="35"/>
      <c r="G149" s="35"/>
      <c r="H149" s="35"/>
      <c r="I149" s="36"/>
      <c r="J149" s="36"/>
      <c r="K149" s="36"/>
      <c r="L149" s="126">
        <f t="shared" si="26"/>
        <v>0</v>
      </c>
      <c r="M149" s="126">
        <f t="shared" si="26"/>
        <v>0</v>
      </c>
      <c r="N149" s="126">
        <f t="shared" si="26"/>
        <v>0</v>
      </c>
      <c r="O149" s="365"/>
      <c r="P149" s="365"/>
      <c r="Q149" s="365"/>
      <c r="R149" s="365"/>
      <c r="S149" s="365"/>
      <c r="AS149" s="40" t="s">
        <v>263</v>
      </c>
      <c r="AT149" s="41" t="s">
        <v>281</v>
      </c>
      <c r="AU149" s="38"/>
      <c r="AV149" s="38"/>
      <c r="AW149" s="38"/>
      <c r="AX149" s="38"/>
    </row>
    <row r="150" spans="1:50" ht="15" customHeight="1">
      <c r="A150" s="384" t="s">
        <v>62</v>
      </c>
      <c r="B150" s="121" t="s">
        <v>15</v>
      </c>
      <c r="C150" s="128"/>
      <c r="D150" s="128"/>
      <c r="E150" s="128"/>
      <c r="F150" s="128"/>
      <c r="G150" s="128"/>
      <c r="H150" s="128"/>
      <c r="I150" s="36"/>
      <c r="J150" s="36"/>
      <c r="K150" s="36">
        <v>2</v>
      </c>
      <c r="L150" s="126">
        <f t="shared" si="26"/>
        <v>0</v>
      </c>
      <c r="M150" s="126">
        <f t="shared" si="26"/>
        <v>0</v>
      </c>
      <c r="N150" s="126">
        <f t="shared" si="26"/>
        <v>2</v>
      </c>
      <c r="O150" s="365"/>
      <c r="P150" s="365"/>
      <c r="Q150" s="365"/>
      <c r="R150" s="365"/>
      <c r="S150" s="365"/>
      <c r="AS150" s="40" t="s">
        <v>263</v>
      </c>
      <c r="AT150" s="41" t="s">
        <v>282</v>
      </c>
      <c r="AU150" s="38"/>
      <c r="AV150" s="38"/>
      <c r="AW150" s="38"/>
      <c r="AX150" s="38"/>
    </row>
    <row r="151" spans="1:50" ht="15" customHeight="1">
      <c r="A151" s="384"/>
      <c r="B151" s="121" t="s">
        <v>16</v>
      </c>
      <c r="C151" s="128"/>
      <c r="D151" s="128"/>
      <c r="E151" s="128"/>
      <c r="F151" s="128"/>
      <c r="G151" s="128"/>
      <c r="H151" s="128"/>
      <c r="I151" s="36"/>
      <c r="J151" s="36"/>
      <c r="K151" s="36">
        <v>1</v>
      </c>
      <c r="L151" s="126">
        <f t="shared" si="26"/>
        <v>0</v>
      </c>
      <c r="M151" s="126">
        <f t="shared" si="26"/>
        <v>0</v>
      </c>
      <c r="N151" s="126">
        <f t="shared" si="26"/>
        <v>1</v>
      </c>
      <c r="O151" s="365"/>
      <c r="P151" s="365"/>
      <c r="Q151" s="365"/>
      <c r="R151" s="365"/>
      <c r="S151" s="365"/>
      <c r="AS151" s="40" t="s">
        <v>263</v>
      </c>
      <c r="AT151" s="41" t="s">
        <v>283</v>
      </c>
      <c r="AU151" s="38"/>
      <c r="AV151" s="38"/>
      <c r="AW151" s="38"/>
      <c r="AX151" s="38"/>
    </row>
    <row r="152" spans="1:50" ht="15" customHeight="1">
      <c r="A152" s="386" t="s">
        <v>63</v>
      </c>
      <c r="B152" s="121" t="s">
        <v>15</v>
      </c>
      <c r="C152" s="128"/>
      <c r="D152" s="128"/>
      <c r="E152" s="128"/>
      <c r="F152" s="128"/>
      <c r="G152" s="128"/>
      <c r="H152" s="128"/>
      <c r="I152" s="36"/>
      <c r="J152" s="36"/>
      <c r="K152" s="36"/>
      <c r="L152" s="126">
        <f t="shared" si="26"/>
        <v>0</v>
      </c>
      <c r="M152" s="126">
        <f t="shared" si="26"/>
        <v>0</v>
      </c>
      <c r="N152" s="126">
        <f t="shared" si="26"/>
        <v>0</v>
      </c>
      <c r="O152" s="365"/>
      <c r="P152" s="365"/>
      <c r="Q152" s="365"/>
      <c r="R152" s="365"/>
      <c r="S152" s="365"/>
      <c r="AS152" s="40" t="s">
        <v>263</v>
      </c>
      <c r="AT152" s="41" t="s">
        <v>284</v>
      </c>
      <c r="AU152" s="38"/>
      <c r="AV152" s="38"/>
      <c r="AW152" s="38"/>
      <c r="AX152" s="38"/>
    </row>
    <row r="153" spans="1:50" ht="15" customHeight="1">
      <c r="A153" s="386"/>
      <c r="B153" s="121" t="s">
        <v>16</v>
      </c>
      <c r="C153" s="128"/>
      <c r="D153" s="128"/>
      <c r="E153" s="128"/>
      <c r="F153" s="128"/>
      <c r="G153" s="128"/>
      <c r="H153" s="128"/>
      <c r="I153" s="36"/>
      <c r="J153" s="36"/>
      <c r="K153" s="36"/>
      <c r="L153" s="126">
        <f t="shared" si="26"/>
        <v>0</v>
      </c>
      <c r="M153" s="126">
        <f t="shared" si="26"/>
        <v>0</v>
      </c>
      <c r="N153" s="126">
        <f t="shared" si="26"/>
        <v>0</v>
      </c>
      <c r="O153" s="365"/>
      <c r="P153" s="365"/>
      <c r="Q153" s="365"/>
      <c r="R153" s="365"/>
      <c r="S153" s="365"/>
      <c r="AS153" s="40" t="s">
        <v>263</v>
      </c>
      <c r="AT153" s="41" t="s">
        <v>285</v>
      </c>
      <c r="AU153" s="38"/>
      <c r="AV153" s="38"/>
      <c r="AW153" s="38"/>
      <c r="AX153" s="38"/>
    </row>
    <row r="154" spans="1:50" ht="15" customHeight="1">
      <c r="A154" s="384" t="s">
        <v>64</v>
      </c>
      <c r="B154" s="121" t="s">
        <v>15</v>
      </c>
      <c r="C154" s="128"/>
      <c r="D154" s="128"/>
      <c r="E154" s="128"/>
      <c r="F154" s="128"/>
      <c r="G154" s="128"/>
      <c r="H154" s="128"/>
      <c r="I154" s="36"/>
      <c r="J154" s="36"/>
      <c r="K154" s="36">
        <v>8</v>
      </c>
      <c r="L154" s="126">
        <f t="shared" si="26"/>
        <v>0</v>
      </c>
      <c r="M154" s="126">
        <f t="shared" si="26"/>
        <v>0</v>
      </c>
      <c r="N154" s="126">
        <f t="shared" si="26"/>
        <v>8</v>
      </c>
      <c r="O154" s="365"/>
      <c r="P154" s="365"/>
      <c r="Q154" s="365"/>
      <c r="R154" s="365"/>
      <c r="S154" s="365"/>
      <c r="AS154" s="40" t="s">
        <v>263</v>
      </c>
      <c r="AT154" s="41" t="s">
        <v>286</v>
      </c>
      <c r="AU154" s="38"/>
      <c r="AV154" s="38"/>
      <c r="AW154" s="38"/>
      <c r="AX154" s="38"/>
    </row>
    <row r="155" spans="1:50" ht="15" customHeight="1">
      <c r="A155" s="384"/>
      <c r="B155" s="121" t="s">
        <v>16</v>
      </c>
      <c r="C155" s="128"/>
      <c r="D155" s="128"/>
      <c r="E155" s="128"/>
      <c r="F155" s="128"/>
      <c r="G155" s="128"/>
      <c r="H155" s="128"/>
      <c r="I155" s="36"/>
      <c r="J155" s="36"/>
      <c r="K155" s="36">
        <v>6</v>
      </c>
      <c r="L155" s="126">
        <f t="shared" si="26"/>
        <v>0</v>
      </c>
      <c r="M155" s="126">
        <f t="shared" si="26"/>
        <v>0</v>
      </c>
      <c r="N155" s="126">
        <f t="shared" si="26"/>
        <v>6</v>
      </c>
      <c r="O155" s="365"/>
      <c r="P155" s="365"/>
      <c r="Q155" s="365"/>
      <c r="R155" s="365"/>
      <c r="S155" s="365"/>
      <c r="AS155" s="40" t="s">
        <v>263</v>
      </c>
      <c r="AT155" s="41" t="s">
        <v>287</v>
      </c>
      <c r="AU155" s="38"/>
      <c r="AV155" s="38"/>
      <c r="AW155" s="38"/>
      <c r="AX155" s="38"/>
    </row>
    <row r="156" spans="1:50" ht="15" customHeight="1">
      <c r="A156" s="385" t="s">
        <v>66</v>
      </c>
      <c r="B156" s="122" t="s">
        <v>15</v>
      </c>
      <c r="C156" s="128"/>
      <c r="D156" s="128"/>
      <c r="E156" s="128"/>
      <c r="F156" s="128"/>
      <c r="G156" s="128"/>
      <c r="H156" s="128"/>
      <c r="I156" s="36"/>
      <c r="J156" s="36"/>
      <c r="K156" s="36"/>
      <c r="L156" s="126">
        <f t="shared" si="26"/>
        <v>0</v>
      </c>
      <c r="M156" s="126">
        <f t="shared" si="26"/>
        <v>0</v>
      </c>
      <c r="N156" s="126">
        <f t="shared" si="26"/>
        <v>0</v>
      </c>
      <c r="O156" s="365"/>
      <c r="P156" s="365"/>
      <c r="Q156" s="365"/>
      <c r="R156" s="365"/>
      <c r="S156" s="365"/>
      <c r="AS156" s="40" t="s">
        <v>263</v>
      </c>
      <c r="AT156" s="41" t="s">
        <v>288</v>
      </c>
      <c r="AU156" s="38"/>
      <c r="AV156" s="38"/>
      <c r="AW156" s="38"/>
      <c r="AX156" s="38"/>
    </row>
    <row r="157" spans="1:50" ht="15" customHeight="1">
      <c r="A157" s="385"/>
      <c r="B157" s="122" t="s">
        <v>16</v>
      </c>
      <c r="C157" s="128"/>
      <c r="D157" s="128"/>
      <c r="E157" s="128"/>
      <c r="F157" s="128"/>
      <c r="G157" s="128"/>
      <c r="H157" s="128"/>
      <c r="I157" s="36"/>
      <c r="J157" s="36"/>
      <c r="K157" s="36"/>
      <c r="L157" s="126">
        <f t="shared" ref="L157:N171" si="27">SUM(C157,F157,I157)</f>
        <v>0</v>
      </c>
      <c r="M157" s="126">
        <f t="shared" si="27"/>
        <v>0</v>
      </c>
      <c r="N157" s="126">
        <f t="shared" si="27"/>
        <v>0</v>
      </c>
      <c r="O157" s="365"/>
      <c r="P157" s="365"/>
      <c r="Q157" s="365"/>
      <c r="R157" s="365"/>
      <c r="S157" s="365"/>
      <c r="AS157" s="40" t="s">
        <v>263</v>
      </c>
      <c r="AT157" s="41" t="s">
        <v>289</v>
      </c>
      <c r="AU157" s="38"/>
      <c r="AV157" s="38"/>
      <c r="AW157" s="38"/>
      <c r="AX157" s="38"/>
    </row>
    <row r="158" spans="1:50" ht="15" customHeight="1">
      <c r="A158" s="385" t="s">
        <v>67</v>
      </c>
      <c r="B158" s="122" t="s">
        <v>15</v>
      </c>
      <c r="C158" s="128"/>
      <c r="D158" s="128"/>
      <c r="E158" s="128"/>
      <c r="F158" s="128"/>
      <c r="G158" s="128"/>
      <c r="H158" s="128"/>
      <c r="I158" s="36"/>
      <c r="J158" s="36"/>
      <c r="K158" s="36"/>
      <c r="L158" s="126">
        <f t="shared" si="27"/>
        <v>0</v>
      </c>
      <c r="M158" s="126">
        <f t="shared" si="27"/>
        <v>0</v>
      </c>
      <c r="N158" s="126">
        <f t="shared" si="27"/>
        <v>0</v>
      </c>
      <c r="O158" s="365"/>
      <c r="P158" s="365"/>
      <c r="Q158" s="365"/>
      <c r="R158" s="365"/>
      <c r="S158" s="365"/>
      <c r="AS158" s="40" t="s">
        <v>263</v>
      </c>
      <c r="AT158" s="41" t="s">
        <v>290</v>
      </c>
      <c r="AU158" s="38"/>
      <c r="AV158" s="38"/>
      <c r="AW158" s="38"/>
      <c r="AX158" s="38"/>
    </row>
    <row r="159" spans="1:50" ht="15" customHeight="1">
      <c r="A159" s="385"/>
      <c r="B159" s="122" t="s">
        <v>16</v>
      </c>
      <c r="C159" s="128"/>
      <c r="D159" s="128"/>
      <c r="E159" s="128"/>
      <c r="F159" s="128"/>
      <c r="G159" s="128"/>
      <c r="H159" s="128"/>
      <c r="I159" s="36"/>
      <c r="J159" s="36"/>
      <c r="K159" s="36"/>
      <c r="L159" s="126">
        <f t="shared" si="27"/>
        <v>0</v>
      </c>
      <c r="M159" s="126">
        <f t="shared" si="27"/>
        <v>0</v>
      </c>
      <c r="N159" s="126">
        <f t="shared" si="27"/>
        <v>0</v>
      </c>
      <c r="O159" s="365"/>
      <c r="P159" s="365"/>
      <c r="Q159" s="365"/>
      <c r="R159" s="365"/>
      <c r="S159" s="365"/>
      <c r="AS159" s="40" t="s">
        <v>291</v>
      </c>
      <c r="AT159" s="41" t="s">
        <v>292</v>
      </c>
      <c r="AU159" s="38"/>
      <c r="AV159" s="38"/>
      <c r="AW159" s="38"/>
      <c r="AX159" s="38"/>
    </row>
    <row r="160" spans="1:50" ht="15" customHeight="1">
      <c r="A160" s="385" t="s">
        <v>68</v>
      </c>
      <c r="B160" s="122" t="s">
        <v>15</v>
      </c>
      <c r="C160" s="128"/>
      <c r="D160" s="128"/>
      <c r="E160" s="128"/>
      <c r="F160" s="128"/>
      <c r="G160" s="128"/>
      <c r="H160" s="128"/>
      <c r="I160" s="36"/>
      <c r="J160" s="36"/>
      <c r="K160" s="36"/>
      <c r="L160" s="126">
        <f t="shared" si="27"/>
        <v>0</v>
      </c>
      <c r="M160" s="126">
        <f t="shared" si="27"/>
        <v>0</v>
      </c>
      <c r="N160" s="126">
        <f t="shared" si="27"/>
        <v>0</v>
      </c>
      <c r="O160" s="365"/>
      <c r="P160" s="365"/>
      <c r="Q160" s="365"/>
      <c r="R160" s="365"/>
      <c r="S160" s="365"/>
      <c r="AS160" s="40" t="s">
        <v>293</v>
      </c>
      <c r="AT160" s="41" t="s">
        <v>294</v>
      </c>
      <c r="AU160" s="38"/>
      <c r="AV160" s="38"/>
      <c r="AW160" s="38"/>
      <c r="AX160" s="38"/>
    </row>
    <row r="161" spans="1:50" ht="15" customHeight="1">
      <c r="A161" s="385"/>
      <c r="B161" s="122" t="s">
        <v>16</v>
      </c>
      <c r="C161" s="128"/>
      <c r="D161" s="128"/>
      <c r="E161" s="128"/>
      <c r="F161" s="128"/>
      <c r="G161" s="128"/>
      <c r="H161" s="128"/>
      <c r="I161" s="36"/>
      <c r="J161" s="36"/>
      <c r="K161" s="36"/>
      <c r="L161" s="126">
        <f t="shared" si="27"/>
        <v>0</v>
      </c>
      <c r="M161" s="126">
        <f t="shared" si="27"/>
        <v>0</v>
      </c>
      <c r="N161" s="126">
        <f t="shared" si="27"/>
        <v>0</v>
      </c>
      <c r="O161" s="365"/>
      <c r="P161" s="365"/>
      <c r="Q161" s="365"/>
      <c r="R161" s="365"/>
      <c r="S161" s="365"/>
      <c r="AS161" s="40" t="s">
        <v>293</v>
      </c>
      <c r="AT161" s="41" t="s">
        <v>295</v>
      </c>
      <c r="AU161" s="38"/>
      <c r="AV161" s="38"/>
      <c r="AW161" s="38"/>
      <c r="AX161" s="38"/>
    </row>
    <row r="162" spans="1:50" ht="15" customHeight="1">
      <c r="A162" s="387" t="s">
        <v>69</v>
      </c>
      <c r="B162" s="122" t="s">
        <v>15</v>
      </c>
      <c r="C162" s="128"/>
      <c r="D162" s="128"/>
      <c r="E162" s="128"/>
      <c r="F162" s="128"/>
      <c r="G162" s="128"/>
      <c r="H162" s="128"/>
      <c r="I162" s="36"/>
      <c r="J162" s="36"/>
      <c r="K162" s="36"/>
      <c r="L162" s="126">
        <f t="shared" si="27"/>
        <v>0</v>
      </c>
      <c r="M162" s="126">
        <f t="shared" si="27"/>
        <v>0</v>
      </c>
      <c r="N162" s="126">
        <f t="shared" si="27"/>
        <v>0</v>
      </c>
      <c r="O162" s="365"/>
      <c r="P162" s="365"/>
      <c r="Q162" s="365"/>
      <c r="R162" s="365"/>
      <c r="S162" s="365"/>
      <c r="AS162" s="40" t="s">
        <v>296</v>
      </c>
      <c r="AT162" s="41" t="s">
        <v>297</v>
      </c>
      <c r="AU162" s="38"/>
      <c r="AV162" s="38"/>
      <c r="AW162" s="38"/>
      <c r="AX162" s="38"/>
    </row>
    <row r="163" spans="1:50" ht="15" customHeight="1">
      <c r="A163" s="387"/>
      <c r="B163" s="122" t="s">
        <v>16</v>
      </c>
      <c r="C163" s="128"/>
      <c r="D163" s="128"/>
      <c r="E163" s="128"/>
      <c r="F163" s="128"/>
      <c r="G163" s="128"/>
      <c r="H163" s="128"/>
      <c r="I163" s="36"/>
      <c r="J163" s="36"/>
      <c r="K163" s="36"/>
      <c r="L163" s="126">
        <f t="shared" si="27"/>
        <v>0</v>
      </c>
      <c r="M163" s="126">
        <f t="shared" si="27"/>
        <v>0</v>
      </c>
      <c r="N163" s="126">
        <f t="shared" si="27"/>
        <v>0</v>
      </c>
      <c r="O163" s="365"/>
      <c r="P163" s="365"/>
      <c r="Q163" s="365"/>
      <c r="R163" s="365"/>
      <c r="S163" s="365"/>
      <c r="AS163" s="40" t="s">
        <v>296</v>
      </c>
      <c r="AT163" s="41" t="s">
        <v>298</v>
      </c>
      <c r="AU163" s="38"/>
      <c r="AV163" s="38"/>
      <c r="AW163" s="38"/>
      <c r="AX163" s="38"/>
    </row>
    <row r="164" spans="1:50" ht="15" customHeight="1">
      <c r="A164" s="387" t="s">
        <v>70</v>
      </c>
      <c r="B164" s="122" t="s">
        <v>15</v>
      </c>
      <c r="C164" s="128"/>
      <c r="D164" s="128"/>
      <c r="E164" s="128"/>
      <c r="F164" s="128"/>
      <c r="G164" s="128"/>
      <c r="H164" s="128"/>
      <c r="I164" s="36"/>
      <c r="J164" s="36"/>
      <c r="K164" s="36"/>
      <c r="L164" s="126">
        <f t="shared" si="27"/>
        <v>0</v>
      </c>
      <c r="M164" s="126">
        <f t="shared" si="27"/>
        <v>0</v>
      </c>
      <c r="N164" s="126">
        <f t="shared" si="27"/>
        <v>0</v>
      </c>
      <c r="O164" s="365"/>
      <c r="P164" s="365"/>
      <c r="Q164" s="365"/>
      <c r="R164" s="365"/>
      <c r="S164" s="365"/>
      <c r="AS164" s="40" t="s">
        <v>296</v>
      </c>
      <c r="AT164" s="41" t="s">
        <v>299</v>
      </c>
      <c r="AU164" s="38"/>
      <c r="AV164" s="38"/>
      <c r="AW164" s="38"/>
      <c r="AX164" s="38"/>
    </row>
    <row r="165" spans="1:50" ht="15" customHeight="1">
      <c r="A165" s="387"/>
      <c r="B165" s="122" t="s">
        <v>16</v>
      </c>
      <c r="C165" s="128"/>
      <c r="D165" s="128"/>
      <c r="E165" s="128"/>
      <c r="F165" s="128"/>
      <c r="G165" s="128"/>
      <c r="H165" s="128"/>
      <c r="I165" s="36">
        <v>3</v>
      </c>
      <c r="J165" s="36"/>
      <c r="K165" s="36"/>
      <c r="L165" s="126">
        <f t="shared" si="27"/>
        <v>3</v>
      </c>
      <c r="M165" s="126">
        <f t="shared" si="27"/>
        <v>0</v>
      </c>
      <c r="N165" s="126">
        <f t="shared" si="27"/>
        <v>0</v>
      </c>
      <c r="O165" s="365"/>
      <c r="P165" s="365"/>
      <c r="Q165" s="365"/>
      <c r="R165" s="365"/>
      <c r="S165" s="365"/>
      <c r="AS165" s="40" t="s">
        <v>296</v>
      </c>
      <c r="AT165" s="41" t="s">
        <v>300</v>
      </c>
      <c r="AU165" s="38"/>
      <c r="AV165" s="38"/>
      <c r="AW165" s="38"/>
      <c r="AX165" s="38"/>
    </row>
    <row r="166" spans="1:50" ht="15" customHeight="1">
      <c r="A166" s="387" t="s">
        <v>71</v>
      </c>
      <c r="B166" s="122" t="s">
        <v>15</v>
      </c>
      <c r="C166" s="128"/>
      <c r="D166" s="128"/>
      <c r="E166" s="128"/>
      <c r="F166" s="128"/>
      <c r="G166" s="128"/>
      <c r="H166" s="128"/>
      <c r="I166" s="36"/>
      <c r="J166" s="36"/>
      <c r="K166" s="36"/>
      <c r="L166" s="126">
        <f t="shared" si="27"/>
        <v>0</v>
      </c>
      <c r="M166" s="126">
        <f t="shared" si="27"/>
        <v>0</v>
      </c>
      <c r="N166" s="126">
        <f t="shared" si="27"/>
        <v>0</v>
      </c>
      <c r="O166" s="365"/>
      <c r="P166" s="365"/>
      <c r="Q166" s="365"/>
      <c r="R166" s="365"/>
      <c r="S166" s="365"/>
      <c r="AS166" s="40" t="s">
        <v>296</v>
      </c>
      <c r="AT166" s="41" t="s">
        <v>301</v>
      </c>
      <c r="AU166" s="38"/>
      <c r="AV166" s="38"/>
      <c r="AW166" s="38"/>
      <c r="AX166" s="38"/>
    </row>
    <row r="167" spans="1:50" ht="15" customHeight="1">
      <c r="A167" s="387"/>
      <c r="B167" s="122" t="s">
        <v>16</v>
      </c>
      <c r="C167" s="128"/>
      <c r="D167" s="128"/>
      <c r="E167" s="128"/>
      <c r="F167" s="128"/>
      <c r="G167" s="128"/>
      <c r="H167" s="128"/>
      <c r="I167" s="36"/>
      <c r="J167" s="36"/>
      <c r="K167" s="36"/>
      <c r="L167" s="126">
        <f t="shared" si="27"/>
        <v>0</v>
      </c>
      <c r="M167" s="126">
        <f t="shared" si="27"/>
        <v>0</v>
      </c>
      <c r="N167" s="126">
        <f t="shared" si="27"/>
        <v>0</v>
      </c>
      <c r="O167" s="365"/>
      <c r="P167" s="365"/>
      <c r="Q167" s="365"/>
      <c r="R167" s="365"/>
      <c r="S167" s="365"/>
      <c r="AS167" s="40" t="s">
        <v>296</v>
      </c>
      <c r="AT167" s="41" t="s">
        <v>302</v>
      </c>
      <c r="AU167" s="38"/>
      <c r="AV167" s="38"/>
      <c r="AW167" s="38"/>
      <c r="AX167" s="38"/>
    </row>
    <row r="168" spans="1:50" ht="15" customHeight="1">
      <c r="A168" s="394" t="s">
        <v>96</v>
      </c>
      <c r="B168" s="122" t="s">
        <v>15</v>
      </c>
      <c r="C168" s="128"/>
      <c r="D168" s="128"/>
      <c r="E168" s="128"/>
      <c r="F168" s="128"/>
      <c r="G168" s="128"/>
      <c r="H168" s="128"/>
      <c r="I168" s="36"/>
      <c r="J168" s="36"/>
      <c r="K168" s="36"/>
      <c r="L168" s="126">
        <f t="shared" si="27"/>
        <v>0</v>
      </c>
      <c r="M168" s="126">
        <f t="shared" si="27"/>
        <v>0</v>
      </c>
      <c r="N168" s="126">
        <f t="shared" si="27"/>
        <v>0</v>
      </c>
      <c r="O168" s="365"/>
      <c r="P168" s="365"/>
      <c r="Q168" s="365"/>
      <c r="R168" s="365"/>
      <c r="S168" s="365"/>
      <c r="AS168" s="40" t="s">
        <v>296</v>
      </c>
      <c r="AT168" s="41" t="s">
        <v>303</v>
      </c>
      <c r="AU168" s="38"/>
      <c r="AV168" s="38"/>
      <c r="AW168" s="38"/>
      <c r="AX168" s="38"/>
    </row>
    <row r="169" spans="1:50" ht="26.25">
      <c r="A169" s="395"/>
      <c r="B169" s="122" t="s">
        <v>16</v>
      </c>
      <c r="C169" s="128"/>
      <c r="D169" s="128"/>
      <c r="E169" s="128"/>
      <c r="F169" s="128"/>
      <c r="G169" s="128"/>
      <c r="H169" s="128"/>
      <c r="I169" s="36"/>
      <c r="J169" s="36"/>
      <c r="K169" s="36"/>
      <c r="L169" s="126">
        <f t="shared" si="27"/>
        <v>0</v>
      </c>
      <c r="M169" s="126">
        <f t="shared" si="27"/>
        <v>0</v>
      </c>
      <c r="N169" s="126">
        <f t="shared" si="27"/>
        <v>0</v>
      </c>
      <c r="O169" s="365"/>
      <c r="P169" s="365"/>
      <c r="Q169" s="365"/>
      <c r="R169" s="365"/>
      <c r="S169" s="365"/>
      <c r="AS169" s="40" t="s">
        <v>296</v>
      </c>
      <c r="AT169" s="41" t="s">
        <v>304</v>
      </c>
      <c r="AU169" s="38"/>
      <c r="AV169" s="38"/>
      <c r="AW169" s="38"/>
      <c r="AX169" s="38"/>
    </row>
    <row r="170" spans="1:50" ht="24" customHeight="1">
      <c r="A170" s="388" t="s">
        <v>73</v>
      </c>
      <c r="B170" s="122" t="s">
        <v>15</v>
      </c>
      <c r="C170" s="128"/>
      <c r="D170" s="128"/>
      <c r="E170" s="128"/>
      <c r="F170" s="128"/>
      <c r="G170" s="128"/>
      <c r="H170" s="128"/>
      <c r="I170" s="36"/>
      <c r="J170" s="36"/>
      <c r="K170" s="36"/>
      <c r="L170" s="126">
        <f t="shared" si="27"/>
        <v>0</v>
      </c>
      <c r="M170" s="126">
        <f t="shared" si="27"/>
        <v>0</v>
      </c>
      <c r="N170" s="126">
        <f t="shared" si="27"/>
        <v>0</v>
      </c>
      <c r="O170" s="365"/>
      <c r="P170" s="365"/>
      <c r="Q170" s="365"/>
      <c r="R170" s="365"/>
      <c r="S170" s="365"/>
      <c r="AS170" s="40" t="s">
        <v>296</v>
      </c>
      <c r="AT170" s="41" t="s">
        <v>305</v>
      </c>
      <c r="AU170" s="38"/>
      <c r="AV170" s="38"/>
      <c r="AW170" s="38"/>
      <c r="AX170" s="38"/>
    </row>
    <row r="171" spans="1:50" ht="26.25">
      <c r="A171" s="389"/>
      <c r="B171" s="122" t="s">
        <v>16</v>
      </c>
      <c r="C171" s="128"/>
      <c r="D171" s="128"/>
      <c r="E171" s="128"/>
      <c r="F171" s="128"/>
      <c r="G171" s="128"/>
      <c r="H171" s="128"/>
      <c r="I171" s="36"/>
      <c r="J171" s="36"/>
      <c r="K171" s="36"/>
      <c r="L171" s="126">
        <f t="shared" si="27"/>
        <v>0</v>
      </c>
      <c r="M171" s="126">
        <f t="shared" si="27"/>
        <v>0</v>
      </c>
      <c r="N171" s="126">
        <f t="shared" si="27"/>
        <v>0</v>
      </c>
      <c r="O171" s="365"/>
      <c r="P171" s="365"/>
      <c r="Q171" s="365"/>
      <c r="R171" s="365"/>
      <c r="S171" s="365"/>
      <c r="AS171" s="40" t="s">
        <v>296</v>
      </c>
      <c r="AT171" s="41" t="s">
        <v>306</v>
      </c>
      <c r="AU171" s="38"/>
      <c r="AV171" s="38"/>
      <c r="AW171" s="38"/>
      <c r="AX171" s="38"/>
    </row>
    <row r="172" spans="1:50" ht="18.75" customHeight="1">
      <c r="A172" s="390" t="s">
        <v>127</v>
      </c>
      <c r="B172" s="13" t="s">
        <v>15</v>
      </c>
      <c r="C172" s="15">
        <f>SUM(C78,C80,C82,C84,C86,C88,C90,C92,C94,C96,C98)</f>
        <v>0</v>
      </c>
      <c r="D172" s="15">
        <f t="shared" ref="D172:N173" si="28">SUM(D78,D80,D82,D84,D86,D88,D90,D92,D94,D96,D98)</f>
        <v>0</v>
      </c>
      <c r="E172" s="15">
        <f t="shared" si="28"/>
        <v>0</v>
      </c>
      <c r="F172" s="15">
        <f t="shared" si="28"/>
        <v>0</v>
      </c>
      <c r="G172" s="15">
        <f t="shared" si="28"/>
        <v>0</v>
      </c>
      <c r="H172" s="15">
        <f t="shared" si="28"/>
        <v>0</v>
      </c>
      <c r="I172" s="15">
        <f t="shared" si="28"/>
        <v>0</v>
      </c>
      <c r="J172" s="15">
        <f t="shared" si="28"/>
        <v>0</v>
      </c>
      <c r="K172" s="15">
        <f t="shared" si="28"/>
        <v>1</v>
      </c>
      <c r="L172" s="15">
        <f t="shared" si="28"/>
        <v>0</v>
      </c>
      <c r="M172" s="15">
        <f t="shared" si="28"/>
        <v>0</v>
      </c>
      <c r="N172" s="15">
        <f t="shared" si="28"/>
        <v>1</v>
      </c>
      <c r="O172" s="391"/>
      <c r="P172" s="392"/>
      <c r="Q172" s="392"/>
      <c r="R172" s="392"/>
      <c r="S172" s="393"/>
      <c r="AS172" s="40" t="s">
        <v>296</v>
      </c>
      <c r="AT172" s="41" t="s">
        <v>307</v>
      </c>
      <c r="AU172" s="38"/>
      <c r="AV172" s="38"/>
      <c r="AW172" s="38"/>
      <c r="AX172" s="38"/>
    </row>
    <row r="173" spans="1:50" ht="18.75" customHeight="1">
      <c r="A173" s="390"/>
      <c r="B173" s="13" t="s">
        <v>16</v>
      </c>
      <c r="C173" s="19">
        <f>SUM(C79,C81,C83,C85,C87,C89,C91,C93,C95,C97,C99)</f>
        <v>0</v>
      </c>
      <c r="D173" s="19">
        <f t="shared" si="28"/>
        <v>0</v>
      </c>
      <c r="E173" s="19">
        <f t="shared" si="28"/>
        <v>0</v>
      </c>
      <c r="F173" s="19">
        <f t="shared" si="28"/>
        <v>0</v>
      </c>
      <c r="G173" s="19">
        <f t="shared" si="28"/>
        <v>0</v>
      </c>
      <c r="H173" s="19">
        <f t="shared" si="28"/>
        <v>0</v>
      </c>
      <c r="I173" s="19">
        <f t="shared" si="28"/>
        <v>0</v>
      </c>
      <c r="J173" s="19">
        <f t="shared" si="28"/>
        <v>0</v>
      </c>
      <c r="K173" s="19">
        <f t="shared" si="28"/>
        <v>0</v>
      </c>
      <c r="L173" s="19">
        <f t="shared" si="28"/>
        <v>0</v>
      </c>
      <c r="M173" s="19">
        <f t="shared" si="28"/>
        <v>0</v>
      </c>
      <c r="N173" s="19">
        <f t="shared" si="28"/>
        <v>0</v>
      </c>
      <c r="O173" s="391"/>
      <c r="P173" s="392"/>
      <c r="Q173" s="392"/>
      <c r="R173" s="392"/>
      <c r="S173" s="393"/>
      <c r="AS173" s="40" t="s">
        <v>308</v>
      </c>
      <c r="AT173" s="41" t="s">
        <v>309</v>
      </c>
      <c r="AU173" s="38"/>
      <c r="AV173" s="38"/>
      <c r="AW173" s="38"/>
      <c r="AX173" s="38"/>
    </row>
    <row r="174" spans="1:50" ht="18.75" customHeight="1">
      <c r="A174" s="401" t="s">
        <v>128</v>
      </c>
      <c r="B174" s="13" t="s">
        <v>15</v>
      </c>
      <c r="C174" s="15">
        <f>SUM(C100,C102,C104,C106,C108,C110,C112,C114,C116)</f>
        <v>7</v>
      </c>
      <c r="D174" s="15">
        <f t="shared" ref="D174:N175" si="29">SUM(D100,D102,D104,D106,D108,D110,D112,D114,D116)</f>
        <v>0</v>
      </c>
      <c r="E174" s="15">
        <f t="shared" si="29"/>
        <v>0</v>
      </c>
      <c r="F174" s="15">
        <f t="shared" si="29"/>
        <v>11</v>
      </c>
      <c r="G174" s="15">
        <f t="shared" si="29"/>
        <v>0</v>
      </c>
      <c r="H174" s="15">
        <f t="shared" si="29"/>
        <v>0</v>
      </c>
      <c r="I174" s="15">
        <f t="shared" si="29"/>
        <v>36</v>
      </c>
      <c r="J174" s="15">
        <f t="shared" si="29"/>
        <v>0</v>
      </c>
      <c r="K174" s="15">
        <f t="shared" si="29"/>
        <v>0</v>
      </c>
      <c r="L174" s="15">
        <f t="shared" si="29"/>
        <v>54</v>
      </c>
      <c r="M174" s="15">
        <f t="shared" si="29"/>
        <v>0</v>
      </c>
      <c r="N174" s="15">
        <f t="shared" si="29"/>
        <v>0</v>
      </c>
      <c r="O174" s="391"/>
      <c r="P174" s="392"/>
      <c r="Q174" s="392"/>
      <c r="R174" s="392"/>
      <c r="S174" s="393"/>
      <c r="AS174" s="40" t="s">
        <v>308</v>
      </c>
      <c r="AT174" s="41" t="s">
        <v>310</v>
      </c>
      <c r="AU174" s="38"/>
      <c r="AV174" s="38"/>
      <c r="AW174" s="38"/>
      <c r="AX174" s="38"/>
    </row>
    <row r="175" spans="1:50" ht="18.75" customHeight="1">
      <c r="A175" s="401"/>
      <c r="B175" s="13" t="s">
        <v>16</v>
      </c>
      <c r="C175" s="19">
        <f>SUM(C101,C103,C105,C107,C109,C111,C113,C115,C117)</f>
        <v>3</v>
      </c>
      <c r="D175" s="19">
        <f t="shared" si="29"/>
        <v>0</v>
      </c>
      <c r="E175" s="19">
        <f t="shared" si="29"/>
        <v>1</v>
      </c>
      <c r="F175" s="19">
        <f t="shared" si="29"/>
        <v>7</v>
      </c>
      <c r="G175" s="19">
        <f t="shared" si="29"/>
        <v>0</v>
      </c>
      <c r="H175" s="19">
        <f t="shared" si="29"/>
        <v>0</v>
      </c>
      <c r="I175" s="19">
        <f t="shared" si="29"/>
        <v>31</v>
      </c>
      <c r="J175" s="19">
        <f t="shared" si="29"/>
        <v>0</v>
      </c>
      <c r="K175" s="19">
        <f t="shared" si="29"/>
        <v>0</v>
      </c>
      <c r="L175" s="19">
        <f t="shared" si="29"/>
        <v>41</v>
      </c>
      <c r="M175" s="19">
        <f t="shared" si="29"/>
        <v>0</v>
      </c>
      <c r="N175" s="19">
        <f t="shared" si="29"/>
        <v>1</v>
      </c>
      <c r="O175" s="391"/>
      <c r="P175" s="392"/>
      <c r="Q175" s="392"/>
      <c r="R175" s="392"/>
      <c r="S175" s="393"/>
      <c r="AS175" s="40" t="s">
        <v>311</v>
      </c>
      <c r="AT175" s="41" t="s">
        <v>312</v>
      </c>
      <c r="AU175" s="38"/>
      <c r="AV175" s="38"/>
      <c r="AW175" s="38"/>
      <c r="AX175" s="38"/>
    </row>
    <row r="176" spans="1:50" ht="18.75" customHeight="1">
      <c r="A176" s="402" t="s">
        <v>98</v>
      </c>
      <c r="B176" s="13" t="s">
        <v>15</v>
      </c>
      <c r="C176" s="15">
        <f>SUM(C118,C120,C122,C124,C126,C128,C130,C132,C134)</f>
        <v>10</v>
      </c>
      <c r="D176" s="15">
        <f t="shared" ref="D176:N177" si="30">SUM(D118,D120,D122,D124,D126,D128,D130,D132,D134)</f>
        <v>0</v>
      </c>
      <c r="E176" s="15">
        <f t="shared" si="30"/>
        <v>0</v>
      </c>
      <c r="F176" s="15">
        <f t="shared" si="30"/>
        <v>6</v>
      </c>
      <c r="G176" s="15">
        <f t="shared" si="30"/>
        <v>0</v>
      </c>
      <c r="H176" s="15">
        <f t="shared" si="30"/>
        <v>1</v>
      </c>
      <c r="I176" s="15">
        <f t="shared" si="30"/>
        <v>84</v>
      </c>
      <c r="J176" s="15">
        <f t="shared" si="30"/>
        <v>2</v>
      </c>
      <c r="K176" s="15">
        <f t="shared" si="30"/>
        <v>0</v>
      </c>
      <c r="L176" s="15">
        <f t="shared" si="30"/>
        <v>100</v>
      </c>
      <c r="M176" s="15">
        <f t="shared" si="30"/>
        <v>2</v>
      </c>
      <c r="N176" s="15">
        <f t="shared" si="30"/>
        <v>1</v>
      </c>
      <c r="O176" s="391"/>
      <c r="P176" s="392"/>
      <c r="Q176" s="392"/>
      <c r="R176" s="392"/>
      <c r="S176" s="393"/>
      <c r="AS176" s="40" t="s">
        <v>311</v>
      </c>
      <c r="AT176" s="41" t="s">
        <v>313</v>
      </c>
      <c r="AU176" s="38"/>
      <c r="AV176" s="38"/>
      <c r="AW176" s="38"/>
      <c r="AX176" s="38"/>
    </row>
    <row r="177" spans="1:50" ht="18.75" customHeight="1">
      <c r="A177" s="402"/>
      <c r="B177" s="13" t="s">
        <v>16</v>
      </c>
      <c r="C177" s="19">
        <f>SUM(C119,C121,C123,C125,C127,C129,C131,C133,C135)</f>
        <v>10</v>
      </c>
      <c r="D177" s="19">
        <f t="shared" si="30"/>
        <v>0</v>
      </c>
      <c r="E177" s="19">
        <f t="shared" si="30"/>
        <v>0</v>
      </c>
      <c r="F177" s="19">
        <f t="shared" si="30"/>
        <v>6</v>
      </c>
      <c r="G177" s="19">
        <f t="shared" si="30"/>
        <v>0</v>
      </c>
      <c r="H177" s="19">
        <f t="shared" si="30"/>
        <v>1</v>
      </c>
      <c r="I177" s="19">
        <f t="shared" si="30"/>
        <v>71</v>
      </c>
      <c r="J177" s="19">
        <f t="shared" si="30"/>
        <v>1</v>
      </c>
      <c r="K177" s="19">
        <f t="shared" si="30"/>
        <v>0</v>
      </c>
      <c r="L177" s="19">
        <f t="shared" si="30"/>
        <v>87</v>
      </c>
      <c r="M177" s="19">
        <f t="shared" si="30"/>
        <v>1</v>
      </c>
      <c r="N177" s="19">
        <f t="shared" si="30"/>
        <v>1</v>
      </c>
      <c r="O177" s="391"/>
      <c r="P177" s="392"/>
      <c r="Q177" s="392"/>
      <c r="R177" s="392"/>
      <c r="S177" s="393"/>
      <c r="AS177" s="40" t="s">
        <v>311</v>
      </c>
      <c r="AT177" s="41" t="s">
        <v>314</v>
      </c>
      <c r="AU177" s="38"/>
      <c r="AV177" s="38"/>
      <c r="AW177" s="38"/>
      <c r="AX177" s="38"/>
    </row>
    <row r="178" spans="1:50" ht="27" customHeight="1">
      <c r="A178" s="396" t="s">
        <v>129</v>
      </c>
      <c r="B178" s="13" t="s">
        <v>15</v>
      </c>
      <c r="C178" s="15">
        <f>SUM(C136,C138,C140,C142,C144,C146,C148,C150,C152,C154)</f>
        <v>0</v>
      </c>
      <c r="D178" s="15">
        <f t="shared" ref="C178:K179" si="31">SUM(D136,D138,D140,D142,D144,D146,D148,D150,D152,D154)</f>
        <v>0</v>
      </c>
      <c r="E178" s="15">
        <f t="shared" si="31"/>
        <v>2</v>
      </c>
      <c r="F178" s="15">
        <f t="shared" si="31"/>
        <v>0</v>
      </c>
      <c r="G178" s="15">
        <f t="shared" si="31"/>
        <v>0</v>
      </c>
      <c r="H178" s="15">
        <f t="shared" si="31"/>
        <v>1</v>
      </c>
      <c r="I178" s="15">
        <f t="shared" si="31"/>
        <v>16</v>
      </c>
      <c r="J178" s="15">
        <f t="shared" si="31"/>
        <v>0</v>
      </c>
      <c r="K178" s="15">
        <f t="shared" si="31"/>
        <v>21</v>
      </c>
      <c r="L178" s="15">
        <f t="shared" ref="L178:N183" si="32">SUM(C178,F178,I178)</f>
        <v>16</v>
      </c>
      <c r="M178" s="15">
        <f t="shared" si="32"/>
        <v>0</v>
      </c>
      <c r="N178" s="15">
        <f t="shared" si="32"/>
        <v>24</v>
      </c>
      <c r="O178" s="391"/>
      <c r="P178" s="392"/>
      <c r="Q178" s="392"/>
      <c r="R178" s="392"/>
      <c r="S178" s="393"/>
      <c r="AS178" s="40" t="s">
        <v>311</v>
      </c>
      <c r="AT178" s="41" t="s">
        <v>315</v>
      </c>
      <c r="AU178" s="38"/>
      <c r="AV178" s="38"/>
      <c r="AW178" s="38"/>
      <c r="AX178" s="38"/>
    </row>
    <row r="179" spans="1:50" ht="26.25">
      <c r="A179" s="396"/>
      <c r="B179" s="13" t="s">
        <v>16</v>
      </c>
      <c r="C179" s="19">
        <f t="shared" si="31"/>
        <v>0</v>
      </c>
      <c r="D179" s="19">
        <f t="shared" si="31"/>
        <v>0</v>
      </c>
      <c r="E179" s="19">
        <f t="shared" si="31"/>
        <v>1</v>
      </c>
      <c r="F179" s="19">
        <f t="shared" si="31"/>
        <v>0</v>
      </c>
      <c r="G179" s="19">
        <f t="shared" si="31"/>
        <v>0</v>
      </c>
      <c r="H179" s="19">
        <f t="shared" si="31"/>
        <v>1</v>
      </c>
      <c r="I179" s="19">
        <f t="shared" si="31"/>
        <v>23</v>
      </c>
      <c r="J179" s="19">
        <f t="shared" si="31"/>
        <v>0</v>
      </c>
      <c r="K179" s="19">
        <f t="shared" si="31"/>
        <v>10</v>
      </c>
      <c r="L179" s="19">
        <f t="shared" si="32"/>
        <v>23</v>
      </c>
      <c r="M179" s="19">
        <f t="shared" si="32"/>
        <v>0</v>
      </c>
      <c r="N179" s="19">
        <f t="shared" si="32"/>
        <v>12</v>
      </c>
      <c r="O179" s="391"/>
      <c r="P179" s="392"/>
      <c r="Q179" s="392"/>
      <c r="R179" s="392"/>
      <c r="S179" s="393"/>
      <c r="AS179" s="40" t="s">
        <v>311</v>
      </c>
      <c r="AT179" s="41" t="s">
        <v>316</v>
      </c>
      <c r="AU179" s="38"/>
      <c r="AV179" s="38"/>
      <c r="AW179" s="38"/>
      <c r="AX179" s="38"/>
    </row>
    <row r="180" spans="1:50" ht="26.25">
      <c r="A180" s="397" t="s">
        <v>100</v>
      </c>
      <c r="B180" s="13" t="s">
        <v>15</v>
      </c>
      <c r="C180" s="15">
        <f>SUM(C156,C158,C160,C162,C164,C166,C168,C170)</f>
        <v>0</v>
      </c>
      <c r="D180" s="15">
        <f t="shared" ref="D180:K181" si="33">SUM(D156,D158,D160,D162,D164,D166,D168,D170)</f>
        <v>0</v>
      </c>
      <c r="E180" s="15">
        <f t="shared" si="33"/>
        <v>0</v>
      </c>
      <c r="F180" s="15">
        <f t="shared" si="33"/>
        <v>0</v>
      </c>
      <c r="G180" s="15">
        <f t="shared" si="33"/>
        <v>0</v>
      </c>
      <c r="H180" s="15">
        <f t="shared" si="33"/>
        <v>0</v>
      </c>
      <c r="I180" s="15">
        <f t="shared" si="33"/>
        <v>0</v>
      </c>
      <c r="J180" s="15">
        <f t="shared" si="33"/>
        <v>0</v>
      </c>
      <c r="K180" s="15">
        <f t="shared" si="33"/>
        <v>0</v>
      </c>
      <c r="L180" s="15">
        <f t="shared" si="32"/>
        <v>0</v>
      </c>
      <c r="M180" s="15">
        <f t="shared" si="32"/>
        <v>0</v>
      </c>
      <c r="N180" s="15">
        <f t="shared" si="32"/>
        <v>0</v>
      </c>
      <c r="O180" s="156"/>
      <c r="P180" s="157"/>
      <c r="Q180" s="157"/>
      <c r="R180" s="157"/>
      <c r="S180" s="158"/>
      <c r="AS180" s="40" t="s">
        <v>311</v>
      </c>
      <c r="AT180" s="41" t="s">
        <v>317</v>
      </c>
      <c r="AU180" s="38"/>
      <c r="AV180" s="38"/>
      <c r="AW180" s="38"/>
      <c r="AX180" s="38"/>
    </row>
    <row r="181" spans="1:50" ht="26.25">
      <c r="A181" s="398"/>
      <c r="B181" s="13" t="s">
        <v>16</v>
      </c>
      <c r="C181" s="19">
        <f>SUM(C157,C159,C161,C163,C165,C167,C169,C171)</f>
        <v>0</v>
      </c>
      <c r="D181" s="19">
        <f t="shared" si="33"/>
        <v>0</v>
      </c>
      <c r="E181" s="19">
        <f t="shared" si="33"/>
        <v>0</v>
      </c>
      <c r="F181" s="19">
        <f t="shared" si="33"/>
        <v>0</v>
      </c>
      <c r="G181" s="19">
        <f t="shared" si="33"/>
        <v>0</v>
      </c>
      <c r="H181" s="19">
        <f t="shared" si="33"/>
        <v>0</v>
      </c>
      <c r="I181" s="19">
        <f t="shared" si="33"/>
        <v>3</v>
      </c>
      <c r="J181" s="19">
        <f t="shared" si="33"/>
        <v>0</v>
      </c>
      <c r="K181" s="19">
        <f t="shared" si="33"/>
        <v>0</v>
      </c>
      <c r="L181" s="19">
        <f t="shared" si="32"/>
        <v>3</v>
      </c>
      <c r="M181" s="19">
        <f t="shared" si="32"/>
        <v>0</v>
      </c>
      <c r="N181" s="19">
        <f t="shared" si="32"/>
        <v>0</v>
      </c>
      <c r="O181" s="156"/>
      <c r="P181" s="157"/>
      <c r="Q181" s="157"/>
      <c r="R181" s="157"/>
      <c r="S181" s="158"/>
      <c r="AS181" s="40" t="s">
        <v>311</v>
      </c>
      <c r="AT181" s="41" t="s">
        <v>318</v>
      </c>
      <c r="AU181" s="38"/>
      <c r="AV181" s="38"/>
      <c r="AW181" s="38"/>
      <c r="AX181" s="38"/>
    </row>
    <row r="182" spans="1:50" ht="26.25">
      <c r="A182" s="399" t="s">
        <v>130</v>
      </c>
      <c r="B182" s="13" t="s">
        <v>15</v>
      </c>
      <c r="C182" s="15">
        <f>SUM(C172,C174,C176,C178,C180)</f>
        <v>17</v>
      </c>
      <c r="D182" s="15">
        <f t="shared" ref="D182:K183" si="34">SUM(D172,D174,D176,D178,D180)</f>
        <v>0</v>
      </c>
      <c r="E182" s="15">
        <f t="shared" si="34"/>
        <v>2</v>
      </c>
      <c r="F182" s="15">
        <f t="shared" si="34"/>
        <v>17</v>
      </c>
      <c r="G182" s="15">
        <f t="shared" si="34"/>
        <v>0</v>
      </c>
      <c r="H182" s="15">
        <f t="shared" si="34"/>
        <v>2</v>
      </c>
      <c r="I182" s="15">
        <f t="shared" si="34"/>
        <v>136</v>
      </c>
      <c r="J182" s="15">
        <f t="shared" si="34"/>
        <v>2</v>
      </c>
      <c r="K182" s="15">
        <f t="shared" si="34"/>
        <v>22</v>
      </c>
      <c r="L182" s="15">
        <f t="shared" si="32"/>
        <v>170</v>
      </c>
      <c r="M182" s="15">
        <f t="shared" si="32"/>
        <v>2</v>
      </c>
      <c r="N182" s="15">
        <f t="shared" si="32"/>
        <v>26</v>
      </c>
      <c r="O182" s="391"/>
      <c r="P182" s="392"/>
      <c r="Q182" s="392"/>
      <c r="R182" s="392"/>
      <c r="S182" s="393"/>
      <c r="AS182" s="40" t="s">
        <v>311</v>
      </c>
      <c r="AT182" s="41" t="s">
        <v>319</v>
      </c>
      <c r="AU182" s="38"/>
      <c r="AV182" s="38"/>
      <c r="AW182" s="38"/>
      <c r="AX182" s="38"/>
    </row>
    <row r="183" spans="1:50" ht="18.75" customHeight="1">
      <c r="A183" s="400"/>
      <c r="B183" s="13" t="s">
        <v>16</v>
      </c>
      <c r="C183" s="19">
        <f>SUM(C173,C175,C177,C179,C181)</f>
        <v>13</v>
      </c>
      <c r="D183" s="19">
        <f t="shared" si="34"/>
        <v>0</v>
      </c>
      <c r="E183" s="19">
        <f t="shared" si="34"/>
        <v>2</v>
      </c>
      <c r="F183" s="19">
        <f t="shared" si="34"/>
        <v>13</v>
      </c>
      <c r="G183" s="19">
        <f t="shared" si="34"/>
        <v>0</v>
      </c>
      <c r="H183" s="19">
        <f t="shared" si="34"/>
        <v>2</v>
      </c>
      <c r="I183" s="19">
        <f t="shared" si="34"/>
        <v>128</v>
      </c>
      <c r="J183" s="19">
        <f t="shared" si="34"/>
        <v>1</v>
      </c>
      <c r="K183" s="19">
        <f t="shared" si="34"/>
        <v>10</v>
      </c>
      <c r="L183" s="19">
        <f t="shared" si="32"/>
        <v>154</v>
      </c>
      <c r="M183" s="19">
        <f t="shared" si="32"/>
        <v>1</v>
      </c>
      <c r="N183" s="19">
        <f t="shared" si="32"/>
        <v>14</v>
      </c>
      <c r="O183" s="391"/>
      <c r="P183" s="392"/>
      <c r="Q183" s="392"/>
      <c r="R183" s="392"/>
      <c r="S183" s="393"/>
      <c r="AS183" s="40" t="s">
        <v>311</v>
      </c>
      <c r="AT183" s="41" t="s">
        <v>320</v>
      </c>
      <c r="AU183" s="38"/>
      <c r="AV183" s="38"/>
      <c r="AW183" s="38"/>
      <c r="AX183" s="38"/>
    </row>
    <row r="184" spans="1:50" ht="30" customHeight="1">
      <c r="A184" s="405"/>
      <c r="B184" s="406"/>
      <c r="C184" s="407" t="s">
        <v>74</v>
      </c>
      <c r="D184" s="407"/>
      <c r="E184" s="407"/>
      <c r="F184" s="407"/>
      <c r="G184" s="407" t="s">
        <v>75</v>
      </c>
      <c r="H184" s="407"/>
      <c r="I184" s="407"/>
      <c r="J184" s="407"/>
      <c r="K184" s="407"/>
      <c r="L184" s="407"/>
      <c r="M184" s="407"/>
      <c r="N184" s="407"/>
      <c r="O184" s="407" t="s">
        <v>76</v>
      </c>
      <c r="P184" s="407"/>
      <c r="Q184" s="408"/>
      <c r="R184" s="408"/>
      <c r="S184" s="409"/>
      <c r="AS184" s="40" t="s">
        <v>311</v>
      </c>
      <c r="AT184" s="41" t="s">
        <v>321</v>
      </c>
      <c r="AU184" s="38"/>
      <c r="AV184" s="38"/>
      <c r="AW184" s="38"/>
      <c r="AX184" s="38"/>
    </row>
    <row r="185" spans="1:50">
      <c r="A185" s="403" t="s">
        <v>137</v>
      </c>
      <c r="B185" s="404"/>
      <c r="C185" s="410"/>
      <c r="D185" s="410"/>
      <c r="E185" s="410"/>
      <c r="F185" s="410"/>
      <c r="G185" s="410"/>
      <c r="H185" s="410"/>
      <c r="I185" s="410"/>
      <c r="J185" s="410"/>
      <c r="K185" s="410"/>
      <c r="L185" s="410"/>
      <c r="M185" s="410"/>
      <c r="N185" s="410"/>
      <c r="O185" s="410"/>
      <c r="P185" s="410"/>
      <c r="Q185" s="411"/>
      <c r="R185" s="411"/>
      <c r="S185" s="412"/>
      <c r="AS185" s="40" t="s">
        <v>311</v>
      </c>
      <c r="AT185" s="41" t="s">
        <v>322</v>
      </c>
      <c r="AU185" s="38"/>
      <c r="AV185" s="38"/>
      <c r="AW185" s="38"/>
      <c r="AX185" s="38"/>
    </row>
    <row r="186" spans="1:50">
      <c r="A186" s="403" t="s">
        <v>77</v>
      </c>
      <c r="B186" s="404"/>
      <c r="C186" s="410"/>
      <c r="D186" s="410"/>
      <c r="E186" s="410"/>
      <c r="F186" s="410"/>
      <c r="G186" s="410"/>
      <c r="H186" s="410"/>
      <c r="I186" s="410"/>
      <c r="J186" s="410"/>
      <c r="K186" s="410"/>
      <c r="L186" s="410"/>
      <c r="M186" s="410"/>
      <c r="N186" s="410"/>
      <c r="O186" s="410"/>
      <c r="P186" s="410"/>
      <c r="Q186" s="411"/>
      <c r="R186" s="411"/>
      <c r="S186" s="412"/>
      <c r="AS186" s="40" t="s">
        <v>311</v>
      </c>
      <c r="AT186" s="41" t="s">
        <v>323</v>
      </c>
      <c r="AU186" s="38"/>
      <c r="AV186" s="38"/>
      <c r="AW186" s="38"/>
      <c r="AX186" s="38"/>
    </row>
    <row r="187" spans="1:50">
      <c r="A187" s="403" t="s">
        <v>78</v>
      </c>
      <c r="B187" s="404"/>
      <c r="C187" s="410"/>
      <c r="D187" s="410"/>
      <c r="E187" s="410"/>
      <c r="F187" s="410"/>
      <c r="G187" s="410"/>
      <c r="H187" s="410"/>
      <c r="I187" s="410"/>
      <c r="J187" s="410"/>
      <c r="K187" s="410"/>
      <c r="L187" s="410"/>
      <c r="M187" s="410"/>
      <c r="N187" s="410"/>
      <c r="O187" s="410"/>
      <c r="P187" s="410"/>
      <c r="Q187" s="411"/>
      <c r="R187" s="411"/>
      <c r="S187" s="412"/>
      <c r="AS187" s="40" t="s">
        <v>311</v>
      </c>
      <c r="AT187" s="41" t="s">
        <v>324</v>
      </c>
      <c r="AU187" s="38"/>
      <c r="AV187" s="38"/>
      <c r="AW187" s="38"/>
      <c r="AX187" s="38"/>
    </row>
    <row r="188" spans="1:50">
      <c r="A188" s="403" t="s">
        <v>79</v>
      </c>
      <c r="B188" s="404"/>
      <c r="C188" s="410"/>
      <c r="D188" s="410"/>
      <c r="E188" s="410"/>
      <c r="F188" s="410"/>
      <c r="G188" s="410"/>
      <c r="H188" s="410"/>
      <c r="I188" s="410"/>
      <c r="J188" s="410"/>
      <c r="K188" s="410"/>
      <c r="L188" s="410"/>
      <c r="M188" s="410"/>
      <c r="N188" s="410"/>
      <c r="O188" s="410"/>
      <c r="P188" s="410"/>
      <c r="Q188" s="411"/>
      <c r="R188" s="411"/>
      <c r="S188" s="412"/>
      <c r="AS188" s="40" t="s">
        <v>311</v>
      </c>
      <c r="AT188" s="41" t="s">
        <v>325</v>
      </c>
      <c r="AU188" s="38"/>
      <c r="AV188" s="38"/>
      <c r="AW188" s="38"/>
      <c r="AX188" s="38"/>
    </row>
    <row r="189" spans="1:50" s="38" customFormat="1">
      <c r="A189" s="49"/>
      <c r="S189" s="50"/>
      <c r="AR189" s="39"/>
      <c r="AS189" s="40" t="s">
        <v>311</v>
      </c>
      <c r="AT189" s="41" t="s">
        <v>326</v>
      </c>
    </row>
    <row r="190" spans="1:50">
      <c r="A190" s="51"/>
      <c r="S190" s="52"/>
      <c r="AS190" s="40" t="s">
        <v>311</v>
      </c>
      <c r="AT190" s="41" t="s">
        <v>327</v>
      </c>
      <c r="AU190" s="38"/>
      <c r="AV190" s="38"/>
      <c r="AW190" s="38"/>
      <c r="AX190" s="38"/>
    </row>
    <row r="191" spans="1:50" ht="15.75" thickBot="1">
      <c r="A191" s="53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5"/>
      <c r="AS191" s="40" t="s">
        <v>311</v>
      </c>
      <c r="AT191" s="41" t="s">
        <v>328</v>
      </c>
      <c r="AU191" s="38"/>
      <c r="AV191" s="38"/>
      <c r="AW191" s="38"/>
      <c r="AX191" s="38"/>
    </row>
    <row r="192" spans="1:50">
      <c r="AS192" s="40" t="s">
        <v>311</v>
      </c>
      <c r="AT192" s="41" t="s">
        <v>329</v>
      </c>
      <c r="AU192" s="38"/>
      <c r="AV192" s="38"/>
      <c r="AW192" s="38"/>
      <c r="AX192" s="38"/>
    </row>
    <row r="193" spans="45:50">
      <c r="AS193" s="40" t="s">
        <v>311</v>
      </c>
      <c r="AT193" s="41" t="s">
        <v>330</v>
      </c>
      <c r="AU193" s="38"/>
      <c r="AV193" s="38"/>
      <c r="AW193" s="38"/>
      <c r="AX193" s="38"/>
    </row>
    <row r="194" spans="45:50">
      <c r="AS194" s="40" t="s">
        <v>311</v>
      </c>
      <c r="AT194" s="41" t="s">
        <v>331</v>
      </c>
      <c r="AU194" s="38"/>
      <c r="AV194" s="38"/>
      <c r="AW194" s="38"/>
      <c r="AX194" s="38"/>
    </row>
    <row r="195" spans="45:50">
      <c r="AS195" s="40" t="s">
        <v>311</v>
      </c>
      <c r="AT195" s="41" t="s">
        <v>332</v>
      </c>
      <c r="AU195" s="38"/>
      <c r="AV195" s="38"/>
      <c r="AW195" s="38"/>
      <c r="AX195" s="38"/>
    </row>
    <row r="196" spans="45:50">
      <c r="AS196" s="40" t="s">
        <v>311</v>
      </c>
      <c r="AT196" s="41" t="s">
        <v>333</v>
      </c>
      <c r="AU196" s="38"/>
      <c r="AV196" s="38"/>
      <c r="AW196" s="38"/>
      <c r="AX196" s="38"/>
    </row>
    <row r="197" spans="45:50">
      <c r="AS197" s="40" t="s">
        <v>311</v>
      </c>
      <c r="AT197" s="41" t="s">
        <v>334</v>
      </c>
      <c r="AU197" s="38"/>
      <c r="AV197" s="38"/>
      <c r="AW197" s="38"/>
      <c r="AX197" s="38"/>
    </row>
    <row r="198" spans="45:50">
      <c r="AS198" s="40" t="s">
        <v>311</v>
      </c>
      <c r="AT198" s="41" t="s">
        <v>335</v>
      </c>
      <c r="AU198" s="38"/>
      <c r="AV198" s="38"/>
      <c r="AW198" s="38"/>
      <c r="AX198" s="38"/>
    </row>
    <row r="199" spans="45:50">
      <c r="AS199" s="40" t="s">
        <v>311</v>
      </c>
      <c r="AT199" s="41" t="s">
        <v>336</v>
      </c>
      <c r="AU199" s="38"/>
      <c r="AV199" s="38"/>
      <c r="AW199" s="38"/>
      <c r="AX199" s="38"/>
    </row>
    <row r="200" spans="45:50">
      <c r="AS200" s="40" t="s">
        <v>311</v>
      </c>
      <c r="AT200" s="41" t="s">
        <v>337</v>
      </c>
      <c r="AU200" s="38"/>
      <c r="AV200" s="38"/>
      <c r="AW200" s="38"/>
      <c r="AX200" s="38"/>
    </row>
    <row r="201" spans="45:50">
      <c r="AS201" s="40" t="s">
        <v>311</v>
      </c>
      <c r="AT201" s="41" t="s">
        <v>338</v>
      </c>
      <c r="AU201" s="38"/>
      <c r="AV201" s="38"/>
      <c r="AW201" s="38"/>
      <c r="AX201" s="38"/>
    </row>
    <row r="202" spans="45:50">
      <c r="AS202" s="40" t="s">
        <v>311</v>
      </c>
      <c r="AT202" s="41" t="s">
        <v>339</v>
      </c>
      <c r="AU202" s="38"/>
      <c r="AV202" s="38"/>
      <c r="AW202" s="38"/>
      <c r="AX202" s="38"/>
    </row>
    <row r="203" spans="45:50">
      <c r="AS203" s="40" t="s">
        <v>311</v>
      </c>
      <c r="AT203" s="41" t="s">
        <v>340</v>
      </c>
      <c r="AU203" s="38"/>
      <c r="AV203" s="38"/>
      <c r="AW203" s="38"/>
      <c r="AX203" s="38"/>
    </row>
    <row r="204" spans="45:50">
      <c r="AS204" s="40" t="s">
        <v>311</v>
      </c>
      <c r="AT204" s="41" t="s">
        <v>341</v>
      </c>
      <c r="AU204" s="38"/>
      <c r="AV204" s="38"/>
      <c r="AW204" s="38"/>
      <c r="AX204" s="38"/>
    </row>
    <row r="205" spans="45:50">
      <c r="AS205" s="40" t="s">
        <v>311</v>
      </c>
      <c r="AT205" s="41" t="s">
        <v>342</v>
      </c>
      <c r="AU205" s="38"/>
      <c r="AV205" s="38"/>
      <c r="AW205" s="38"/>
      <c r="AX205" s="38"/>
    </row>
    <row r="206" spans="45:50">
      <c r="AS206" s="40" t="s">
        <v>311</v>
      </c>
      <c r="AT206" s="41" t="s">
        <v>343</v>
      </c>
      <c r="AU206" s="38"/>
      <c r="AV206" s="38"/>
      <c r="AW206" s="38"/>
      <c r="AX206" s="38"/>
    </row>
    <row r="207" spans="45:50">
      <c r="AS207" s="40" t="s">
        <v>311</v>
      </c>
      <c r="AT207" s="41" t="s">
        <v>344</v>
      </c>
      <c r="AU207" s="38"/>
      <c r="AV207" s="38"/>
      <c r="AW207" s="38"/>
      <c r="AX207" s="38"/>
    </row>
    <row r="208" spans="45:50">
      <c r="AS208" s="40" t="s">
        <v>345</v>
      </c>
      <c r="AT208" s="41" t="s">
        <v>346</v>
      </c>
      <c r="AU208" s="38"/>
      <c r="AV208" s="38"/>
      <c r="AW208" s="38"/>
      <c r="AX208" s="38"/>
    </row>
    <row r="209" spans="45:50">
      <c r="AS209" s="40" t="s">
        <v>345</v>
      </c>
      <c r="AT209" s="41" t="s">
        <v>347</v>
      </c>
      <c r="AU209" s="38"/>
      <c r="AV209" s="38"/>
      <c r="AW209" s="38"/>
      <c r="AX209" s="38"/>
    </row>
    <row r="210" spans="45:50">
      <c r="AS210" s="40" t="s">
        <v>345</v>
      </c>
      <c r="AT210" s="41" t="s">
        <v>348</v>
      </c>
      <c r="AU210" s="38"/>
      <c r="AV210" s="38"/>
      <c r="AW210" s="38"/>
      <c r="AX210" s="38"/>
    </row>
    <row r="211" spans="45:50">
      <c r="AS211" s="40" t="s">
        <v>345</v>
      </c>
      <c r="AT211" s="41" t="s">
        <v>349</v>
      </c>
      <c r="AU211" s="38"/>
      <c r="AV211" s="38"/>
      <c r="AW211" s="38"/>
      <c r="AX211" s="38"/>
    </row>
    <row r="212" spans="45:50">
      <c r="AS212" s="40" t="s">
        <v>345</v>
      </c>
      <c r="AT212" s="41" t="s">
        <v>350</v>
      </c>
      <c r="AU212" s="38"/>
      <c r="AV212" s="38"/>
      <c r="AW212" s="38"/>
      <c r="AX212" s="38"/>
    </row>
    <row r="213" spans="45:50">
      <c r="AS213" s="40" t="s">
        <v>345</v>
      </c>
      <c r="AT213" s="41" t="s">
        <v>351</v>
      </c>
      <c r="AU213" s="38"/>
      <c r="AV213" s="38"/>
      <c r="AW213" s="38"/>
      <c r="AX213" s="38"/>
    </row>
    <row r="214" spans="45:50">
      <c r="AS214" s="40" t="s">
        <v>345</v>
      </c>
      <c r="AT214" s="41" t="s">
        <v>352</v>
      </c>
      <c r="AU214" s="38"/>
      <c r="AV214" s="38"/>
      <c r="AW214" s="38"/>
      <c r="AX214" s="38"/>
    </row>
    <row r="215" spans="45:50">
      <c r="AS215" s="40" t="s">
        <v>345</v>
      </c>
      <c r="AT215" s="41" t="s">
        <v>353</v>
      </c>
      <c r="AU215" s="38"/>
      <c r="AV215" s="38"/>
      <c r="AW215" s="38"/>
      <c r="AX215" s="38"/>
    </row>
    <row r="216" spans="45:50">
      <c r="AS216" s="40" t="s">
        <v>345</v>
      </c>
      <c r="AT216" s="41" t="s">
        <v>354</v>
      </c>
      <c r="AU216" s="38"/>
      <c r="AV216" s="38"/>
      <c r="AW216" s="38"/>
      <c r="AX216" s="38"/>
    </row>
    <row r="217" spans="45:50">
      <c r="AS217" s="40" t="s">
        <v>345</v>
      </c>
      <c r="AT217" s="41" t="s">
        <v>355</v>
      </c>
      <c r="AU217" s="38"/>
      <c r="AV217" s="38"/>
      <c r="AW217" s="38"/>
      <c r="AX217" s="38"/>
    </row>
    <row r="218" spans="45:50">
      <c r="AS218" s="40" t="s">
        <v>345</v>
      </c>
      <c r="AT218" s="41" t="s">
        <v>356</v>
      </c>
      <c r="AU218" s="38"/>
      <c r="AV218" s="38"/>
      <c r="AW218" s="38"/>
      <c r="AX218" s="38"/>
    </row>
    <row r="219" spans="45:50">
      <c r="AS219" s="40" t="s">
        <v>345</v>
      </c>
      <c r="AT219" s="41" t="s">
        <v>357</v>
      </c>
      <c r="AU219" s="38"/>
      <c r="AV219" s="38"/>
      <c r="AW219" s="38"/>
      <c r="AX219" s="38"/>
    </row>
    <row r="220" spans="45:50">
      <c r="AS220" s="40" t="s">
        <v>345</v>
      </c>
      <c r="AT220" s="41" t="s">
        <v>358</v>
      </c>
      <c r="AU220" s="38"/>
      <c r="AV220" s="38"/>
      <c r="AW220" s="38"/>
      <c r="AX220" s="38"/>
    </row>
    <row r="221" spans="45:50">
      <c r="AS221" s="40" t="s">
        <v>345</v>
      </c>
      <c r="AT221" s="41" t="s">
        <v>359</v>
      </c>
      <c r="AU221" s="38"/>
      <c r="AV221" s="38"/>
      <c r="AW221" s="38"/>
      <c r="AX221" s="38"/>
    </row>
    <row r="222" spans="45:50">
      <c r="AS222" s="40" t="s">
        <v>345</v>
      </c>
      <c r="AT222" s="41" t="s">
        <v>360</v>
      </c>
      <c r="AU222" s="38"/>
      <c r="AV222" s="38"/>
      <c r="AW222" s="38"/>
      <c r="AX222" s="38"/>
    </row>
    <row r="223" spans="45:50">
      <c r="AS223" s="40" t="s">
        <v>345</v>
      </c>
      <c r="AT223" s="41" t="s">
        <v>361</v>
      </c>
      <c r="AU223" s="38"/>
      <c r="AV223" s="38"/>
      <c r="AW223" s="38"/>
      <c r="AX223" s="38"/>
    </row>
    <row r="224" spans="45:50">
      <c r="AS224" s="40" t="s">
        <v>345</v>
      </c>
      <c r="AT224" s="41" t="s">
        <v>362</v>
      </c>
      <c r="AU224" s="38"/>
      <c r="AV224" s="38"/>
      <c r="AW224" s="38"/>
      <c r="AX224" s="38"/>
    </row>
    <row r="225" spans="45:50">
      <c r="AS225" s="40" t="s">
        <v>345</v>
      </c>
      <c r="AT225" s="41" t="s">
        <v>363</v>
      </c>
      <c r="AU225" s="38"/>
      <c r="AV225" s="38"/>
      <c r="AW225" s="38"/>
      <c r="AX225" s="38"/>
    </row>
    <row r="226" spans="45:50">
      <c r="AS226" s="40" t="s">
        <v>345</v>
      </c>
      <c r="AT226" s="41" t="s">
        <v>364</v>
      </c>
      <c r="AU226" s="38"/>
      <c r="AV226" s="38"/>
      <c r="AW226" s="38"/>
      <c r="AX226" s="38"/>
    </row>
    <row r="227" spans="45:50">
      <c r="AS227" s="40" t="s">
        <v>345</v>
      </c>
      <c r="AT227" s="41" t="s">
        <v>365</v>
      </c>
      <c r="AU227" s="38"/>
      <c r="AV227" s="38"/>
      <c r="AW227" s="38"/>
      <c r="AX227" s="38"/>
    </row>
    <row r="228" spans="45:50">
      <c r="AS228" s="40" t="s">
        <v>345</v>
      </c>
      <c r="AT228" s="41" t="s">
        <v>366</v>
      </c>
      <c r="AU228" s="38"/>
      <c r="AV228" s="38"/>
      <c r="AW228" s="38"/>
      <c r="AX228" s="38"/>
    </row>
    <row r="229" spans="45:50">
      <c r="AS229" s="40" t="s">
        <v>345</v>
      </c>
      <c r="AT229" s="41" t="s">
        <v>367</v>
      </c>
      <c r="AU229" s="38"/>
      <c r="AV229" s="38"/>
      <c r="AW229" s="38"/>
      <c r="AX229" s="38"/>
    </row>
    <row r="230" spans="45:50">
      <c r="AS230" s="40" t="s">
        <v>368</v>
      </c>
      <c r="AT230" s="41" t="s">
        <v>369</v>
      </c>
      <c r="AU230" s="38"/>
      <c r="AV230" s="38"/>
      <c r="AW230" s="38"/>
      <c r="AX230" s="38"/>
    </row>
    <row r="231" spans="45:50">
      <c r="AS231" s="40" t="s">
        <v>368</v>
      </c>
      <c r="AT231" s="41" t="s">
        <v>370</v>
      </c>
      <c r="AU231" s="38"/>
      <c r="AV231" s="38"/>
      <c r="AW231" s="38"/>
      <c r="AX231" s="38"/>
    </row>
    <row r="232" spans="45:50">
      <c r="AS232" s="40" t="s">
        <v>368</v>
      </c>
      <c r="AT232" s="41" t="s">
        <v>371</v>
      </c>
      <c r="AU232" s="38"/>
      <c r="AV232" s="38"/>
      <c r="AW232" s="38"/>
      <c r="AX232" s="38"/>
    </row>
    <row r="233" spans="45:50">
      <c r="AS233" s="40" t="s">
        <v>368</v>
      </c>
      <c r="AT233" s="41" t="s">
        <v>372</v>
      </c>
      <c r="AU233" s="38"/>
      <c r="AV233" s="38"/>
      <c r="AW233" s="38"/>
      <c r="AX233" s="38"/>
    </row>
    <row r="234" spans="45:50">
      <c r="AS234" s="40" t="s">
        <v>368</v>
      </c>
      <c r="AT234" s="41" t="s">
        <v>373</v>
      </c>
      <c r="AU234" s="38"/>
      <c r="AV234" s="38"/>
      <c r="AW234" s="38"/>
      <c r="AX234" s="38"/>
    </row>
    <row r="235" spans="45:50">
      <c r="AS235" s="40" t="s">
        <v>368</v>
      </c>
      <c r="AT235" s="41" t="s">
        <v>374</v>
      </c>
      <c r="AU235" s="38"/>
      <c r="AV235" s="38"/>
      <c r="AW235" s="38"/>
      <c r="AX235" s="38"/>
    </row>
    <row r="236" spans="45:50">
      <c r="AS236" s="40" t="s">
        <v>368</v>
      </c>
      <c r="AT236" s="41" t="s">
        <v>375</v>
      </c>
      <c r="AU236" s="38"/>
      <c r="AV236" s="38"/>
      <c r="AW236" s="38"/>
      <c r="AX236" s="38"/>
    </row>
    <row r="237" spans="45:50">
      <c r="AS237" s="40" t="s">
        <v>368</v>
      </c>
      <c r="AT237" s="41" t="s">
        <v>376</v>
      </c>
      <c r="AU237" s="38"/>
      <c r="AV237" s="38"/>
      <c r="AW237" s="38"/>
      <c r="AX237" s="38"/>
    </row>
    <row r="238" spans="45:50">
      <c r="AS238" s="40" t="s">
        <v>368</v>
      </c>
      <c r="AT238" s="41" t="s">
        <v>377</v>
      </c>
      <c r="AU238" s="38"/>
      <c r="AV238" s="38"/>
      <c r="AW238" s="38"/>
      <c r="AX238" s="38"/>
    </row>
    <row r="239" spans="45:50">
      <c r="AS239" s="40" t="s">
        <v>368</v>
      </c>
      <c r="AT239" s="41" t="s">
        <v>378</v>
      </c>
      <c r="AU239" s="38"/>
      <c r="AV239" s="38"/>
      <c r="AW239" s="38"/>
      <c r="AX239" s="38"/>
    </row>
    <row r="240" spans="45:50">
      <c r="AS240" s="40" t="s">
        <v>368</v>
      </c>
      <c r="AT240" s="41" t="s">
        <v>379</v>
      </c>
      <c r="AU240" s="38"/>
      <c r="AV240" s="38"/>
      <c r="AW240" s="38"/>
      <c r="AX240" s="38"/>
    </row>
    <row r="241" spans="45:50">
      <c r="AS241" s="40" t="s">
        <v>368</v>
      </c>
      <c r="AT241" s="41" t="s">
        <v>380</v>
      </c>
      <c r="AU241" s="38"/>
      <c r="AV241" s="38"/>
      <c r="AW241" s="38"/>
      <c r="AX241" s="38"/>
    </row>
    <row r="242" spans="45:50">
      <c r="AS242" s="40" t="s">
        <v>381</v>
      </c>
      <c r="AT242" s="41" t="s">
        <v>382</v>
      </c>
      <c r="AU242" s="38"/>
      <c r="AV242" s="38"/>
      <c r="AW242" s="38"/>
      <c r="AX242" s="38"/>
    </row>
    <row r="243" spans="45:50">
      <c r="AS243" s="40" t="s">
        <v>381</v>
      </c>
      <c r="AT243" s="41" t="s">
        <v>383</v>
      </c>
      <c r="AU243" s="38"/>
      <c r="AV243" s="38"/>
      <c r="AW243" s="38"/>
      <c r="AX243" s="38"/>
    </row>
    <row r="244" spans="45:50">
      <c r="AS244" s="40" t="s">
        <v>381</v>
      </c>
      <c r="AT244" s="41" t="s">
        <v>384</v>
      </c>
      <c r="AU244" s="38"/>
      <c r="AV244" s="38"/>
      <c r="AW244" s="38"/>
      <c r="AX244" s="38"/>
    </row>
    <row r="245" spans="45:50">
      <c r="AS245" s="40" t="s">
        <v>381</v>
      </c>
      <c r="AT245" s="41" t="s">
        <v>385</v>
      </c>
      <c r="AU245" s="38"/>
      <c r="AV245" s="38"/>
      <c r="AW245" s="38"/>
      <c r="AX245" s="38"/>
    </row>
    <row r="246" spans="45:50">
      <c r="AS246" s="40" t="s">
        <v>381</v>
      </c>
      <c r="AT246" s="41" t="s">
        <v>386</v>
      </c>
      <c r="AU246" s="38"/>
      <c r="AV246" s="38"/>
      <c r="AW246" s="38"/>
      <c r="AX246" s="38"/>
    </row>
    <row r="247" spans="45:50">
      <c r="AS247" s="40" t="s">
        <v>381</v>
      </c>
      <c r="AT247" s="41" t="s">
        <v>387</v>
      </c>
      <c r="AU247" s="38"/>
      <c r="AV247" s="38"/>
      <c r="AW247" s="38"/>
      <c r="AX247" s="38"/>
    </row>
    <row r="248" spans="45:50">
      <c r="AS248" s="40" t="s">
        <v>381</v>
      </c>
      <c r="AT248" s="41" t="s">
        <v>388</v>
      </c>
      <c r="AU248" s="38"/>
      <c r="AV248" s="38"/>
      <c r="AW248" s="38"/>
      <c r="AX248" s="38"/>
    </row>
    <row r="249" spans="45:50">
      <c r="AS249" s="40" t="s">
        <v>381</v>
      </c>
      <c r="AT249" s="41" t="s">
        <v>389</v>
      </c>
      <c r="AU249" s="38"/>
      <c r="AV249" s="38"/>
      <c r="AW249" s="38"/>
      <c r="AX249" s="38"/>
    </row>
    <row r="250" spans="45:50">
      <c r="AS250" s="40" t="s">
        <v>381</v>
      </c>
      <c r="AT250" s="41" t="s">
        <v>390</v>
      </c>
      <c r="AU250" s="38"/>
      <c r="AV250" s="38"/>
      <c r="AW250" s="38"/>
      <c r="AX250" s="38"/>
    </row>
    <row r="251" spans="45:50">
      <c r="AS251" s="40" t="s">
        <v>381</v>
      </c>
      <c r="AT251" s="41" t="s">
        <v>391</v>
      </c>
      <c r="AU251" s="38"/>
      <c r="AV251" s="38"/>
      <c r="AW251" s="38"/>
      <c r="AX251" s="38"/>
    </row>
    <row r="252" spans="45:50">
      <c r="AS252" s="40" t="s">
        <v>381</v>
      </c>
      <c r="AT252" s="41" t="s">
        <v>392</v>
      </c>
      <c r="AU252" s="38"/>
      <c r="AV252" s="38"/>
      <c r="AW252" s="38"/>
      <c r="AX252" s="38"/>
    </row>
    <row r="253" spans="45:50">
      <c r="AS253" s="40" t="s">
        <v>381</v>
      </c>
      <c r="AT253" s="41" t="s">
        <v>393</v>
      </c>
      <c r="AU253" s="38"/>
      <c r="AV253" s="38"/>
      <c r="AW253" s="38"/>
      <c r="AX253" s="38"/>
    </row>
    <row r="254" spans="45:50">
      <c r="AS254" s="40" t="s">
        <v>381</v>
      </c>
      <c r="AT254" s="41" t="s">
        <v>394</v>
      </c>
      <c r="AU254" s="38"/>
      <c r="AV254" s="38"/>
      <c r="AW254" s="38"/>
      <c r="AX254" s="38"/>
    </row>
    <row r="255" spans="45:50">
      <c r="AS255" s="40" t="s">
        <v>381</v>
      </c>
      <c r="AT255" s="41" t="s">
        <v>395</v>
      </c>
      <c r="AU255" s="38"/>
      <c r="AV255" s="38"/>
      <c r="AW255" s="38"/>
      <c r="AX255" s="38"/>
    </row>
    <row r="256" spans="45:50">
      <c r="AS256" s="40" t="s">
        <v>381</v>
      </c>
      <c r="AT256" s="41" t="s">
        <v>396</v>
      </c>
      <c r="AU256" s="38"/>
      <c r="AV256" s="38"/>
      <c r="AW256" s="38"/>
      <c r="AX256" s="38"/>
    </row>
    <row r="257" spans="45:50">
      <c r="AS257" s="40" t="s">
        <v>381</v>
      </c>
      <c r="AT257" s="41" t="s">
        <v>397</v>
      </c>
      <c r="AU257" s="38"/>
      <c r="AV257" s="38"/>
      <c r="AW257" s="38"/>
      <c r="AX257" s="38"/>
    </row>
    <row r="258" spans="45:50">
      <c r="AS258" s="40" t="s">
        <v>381</v>
      </c>
      <c r="AT258" s="41" t="s">
        <v>398</v>
      </c>
      <c r="AU258" s="38"/>
      <c r="AV258" s="38"/>
      <c r="AW258" s="38"/>
      <c r="AX258" s="38"/>
    </row>
    <row r="259" spans="45:50">
      <c r="AS259" s="40" t="s">
        <v>381</v>
      </c>
      <c r="AT259" s="41" t="s">
        <v>399</v>
      </c>
      <c r="AU259" s="38"/>
      <c r="AV259" s="38"/>
      <c r="AW259" s="38"/>
      <c r="AX259" s="38"/>
    </row>
    <row r="260" spans="45:50">
      <c r="AS260" s="40" t="s">
        <v>381</v>
      </c>
      <c r="AT260" s="41" t="s">
        <v>400</v>
      </c>
      <c r="AU260" s="38"/>
      <c r="AV260" s="38"/>
      <c r="AW260" s="38"/>
      <c r="AX260" s="38"/>
    </row>
    <row r="261" spans="45:50">
      <c r="AS261" s="40" t="s">
        <v>381</v>
      </c>
      <c r="AT261" s="41" t="s">
        <v>401</v>
      </c>
      <c r="AU261" s="38"/>
      <c r="AV261" s="38"/>
      <c r="AW261" s="38"/>
      <c r="AX261" s="38"/>
    </row>
    <row r="262" spans="45:50">
      <c r="AS262" s="40" t="s">
        <v>381</v>
      </c>
      <c r="AT262" s="41" t="s">
        <v>402</v>
      </c>
      <c r="AU262" s="38"/>
      <c r="AV262" s="38"/>
      <c r="AW262" s="38"/>
      <c r="AX262" s="38"/>
    </row>
    <row r="263" spans="45:50">
      <c r="AS263" s="40" t="s">
        <v>381</v>
      </c>
      <c r="AT263" s="41" t="s">
        <v>403</v>
      </c>
      <c r="AU263" s="38"/>
      <c r="AV263" s="38"/>
      <c r="AW263" s="38"/>
      <c r="AX263" s="38"/>
    </row>
    <row r="264" spans="45:50">
      <c r="AS264" s="40" t="s">
        <v>404</v>
      </c>
      <c r="AT264" s="41" t="s">
        <v>405</v>
      </c>
      <c r="AU264" s="38"/>
      <c r="AV264" s="38"/>
      <c r="AW264" s="38"/>
      <c r="AX264" s="38"/>
    </row>
    <row r="265" spans="45:50">
      <c r="AS265" s="40" t="s">
        <v>404</v>
      </c>
      <c r="AT265" s="41" t="s">
        <v>406</v>
      </c>
      <c r="AU265" s="38"/>
      <c r="AV265" s="38"/>
      <c r="AW265" s="38"/>
      <c r="AX265" s="38"/>
    </row>
    <row r="266" spans="45:50">
      <c r="AS266" s="40" t="s">
        <v>404</v>
      </c>
      <c r="AT266" s="41" t="s">
        <v>407</v>
      </c>
      <c r="AU266" s="38"/>
      <c r="AV266" s="38"/>
      <c r="AW266" s="38"/>
      <c r="AX266" s="38"/>
    </row>
    <row r="267" spans="45:50">
      <c r="AS267" s="40" t="s">
        <v>404</v>
      </c>
      <c r="AT267" s="41" t="s">
        <v>408</v>
      </c>
      <c r="AU267" s="38"/>
      <c r="AV267" s="38"/>
      <c r="AW267" s="38"/>
      <c r="AX267" s="38"/>
    </row>
    <row r="268" spans="45:50">
      <c r="AS268" s="40" t="s">
        <v>404</v>
      </c>
      <c r="AT268" s="41" t="s">
        <v>409</v>
      </c>
      <c r="AU268" s="38"/>
      <c r="AV268" s="38"/>
      <c r="AW268" s="38"/>
      <c r="AX268" s="38"/>
    </row>
    <row r="269" spans="45:50">
      <c r="AS269" s="40" t="s">
        <v>404</v>
      </c>
      <c r="AT269" s="41" t="s">
        <v>410</v>
      </c>
      <c r="AU269" s="38"/>
      <c r="AV269" s="38"/>
      <c r="AW269" s="38"/>
      <c r="AX269" s="38"/>
    </row>
    <row r="270" spans="45:50">
      <c r="AS270" s="40" t="s">
        <v>404</v>
      </c>
      <c r="AT270" s="41" t="s">
        <v>411</v>
      </c>
      <c r="AU270" s="38"/>
      <c r="AV270" s="38"/>
      <c r="AW270" s="38"/>
      <c r="AX270" s="38"/>
    </row>
    <row r="271" spans="45:50">
      <c r="AS271" s="40" t="s">
        <v>404</v>
      </c>
      <c r="AT271" s="41" t="s">
        <v>412</v>
      </c>
      <c r="AU271" s="38"/>
      <c r="AV271" s="38"/>
      <c r="AW271" s="38"/>
      <c r="AX271" s="38"/>
    </row>
    <row r="272" spans="45:50">
      <c r="AS272" s="40" t="s">
        <v>404</v>
      </c>
      <c r="AT272" s="41" t="s">
        <v>413</v>
      </c>
      <c r="AU272" s="38"/>
      <c r="AV272" s="38"/>
      <c r="AW272" s="38"/>
      <c r="AX272" s="38"/>
    </row>
    <row r="273" spans="45:50">
      <c r="AS273" s="40" t="s">
        <v>404</v>
      </c>
      <c r="AT273" s="41" t="s">
        <v>414</v>
      </c>
      <c r="AU273" s="38"/>
      <c r="AV273" s="38"/>
      <c r="AW273" s="38"/>
      <c r="AX273" s="38"/>
    </row>
    <row r="274" spans="45:50">
      <c r="AS274" s="40" t="s">
        <v>404</v>
      </c>
      <c r="AT274" s="41" t="s">
        <v>415</v>
      </c>
      <c r="AU274" s="38"/>
      <c r="AV274" s="38"/>
      <c r="AW274" s="38"/>
      <c r="AX274" s="38"/>
    </row>
    <row r="275" spans="45:50">
      <c r="AS275" s="40" t="s">
        <v>404</v>
      </c>
      <c r="AT275" s="41" t="s">
        <v>416</v>
      </c>
      <c r="AU275" s="38"/>
      <c r="AV275" s="38"/>
      <c r="AW275" s="38"/>
      <c r="AX275" s="38"/>
    </row>
    <row r="276" spans="45:50">
      <c r="AS276" s="40" t="s">
        <v>404</v>
      </c>
      <c r="AT276" s="41" t="s">
        <v>417</v>
      </c>
      <c r="AU276" s="38"/>
      <c r="AV276" s="38"/>
      <c r="AW276" s="38"/>
      <c r="AX276" s="38"/>
    </row>
    <row r="277" spans="45:50">
      <c r="AS277" s="40" t="s">
        <v>404</v>
      </c>
      <c r="AT277" s="41" t="s">
        <v>418</v>
      </c>
      <c r="AU277" s="38"/>
      <c r="AV277" s="38"/>
      <c r="AW277" s="38"/>
      <c r="AX277" s="38"/>
    </row>
    <row r="278" spans="45:50">
      <c r="AS278" s="40" t="s">
        <v>404</v>
      </c>
      <c r="AT278" s="41" t="s">
        <v>419</v>
      </c>
      <c r="AU278" s="38"/>
      <c r="AV278" s="38"/>
      <c r="AW278" s="38"/>
      <c r="AX278" s="38"/>
    </row>
    <row r="279" spans="45:50">
      <c r="AS279" s="40" t="s">
        <v>404</v>
      </c>
      <c r="AT279" s="41" t="s">
        <v>420</v>
      </c>
      <c r="AU279" s="38"/>
      <c r="AV279" s="38"/>
      <c r="AW279" s="38"/>
      <c r="AX279" s="38"/>
    </row>
    <row r="280" spans="45:50">
      <c r="AS280" s="40" t="s">
        <v>404</v>
      </c>
      <c r="AT280" s="41" t="s">
        <v>421</v>
      </c>
      <c r="AU280" s="38"/>
      <c r="AV280" s="38"/>
      <c r="AW280" s="38"/>
      <c r="AX280" s="38"/>
    </row>
    <row r="281" spans="45:50">
      <c r="AS281" s="40" t="s">
        <v>404</v>
      </c>
      <c r="AT281" s="41" t="s">
        <v>422</v>
      </c>
      <c r="AU281" s="38"/>
      <c r="AV281" s="38"/>
      <c r="AW281" s="38"/>
      <c r="AX281" s="38"/>
    </row>
    <row r="282" spans="45:50">
      <c r="AS282" s="40" t="s">
        <v>404</v>
      </c>
      <c r="AT282" s="41" t="s">
        <v>423</v>
      </c>
      <c r="AU282" s="38"/>
      <c r="AV282" s="38"/>
      <c r="AW282" s="38"/>
      <c r="AX282" s="38"/>
    </row>
    <row r="283" spans="45:50">
      <c r="AS283" s="40" t="s">
        <v>404</v>
      </c>
      <c r="AT283" s="41" t="s">
        <v>424</v>
      </c>
      <c r="AU283" s="38"/>
      <c r="AV283" s="38"/>
      <c r="AW283" s="38"/>
      <c r="AX283" s="38"/>
    </row>
    <row r="284" spans="45:50">
      <c r="AS284" s="40" t="s">
        <v>404</v>
      </c>
      <c r="AT284" s="41" t="s">
        <v>425</v>
      </c>
      <c r="AU284" s="38"/>
      <c r="AV284" s="38"/>
      <c r="AW284" s="38"/>
      <c r="AX284" s="38"/>
    </row>
    <row r="285" spans="45:50">
      <c r="AS285" s="40" t="s">
        <v>404</v>
      </c>
      <c r="AT285" s="41" t="s">
        <v>426</v>
      </c>
      <c r="AU285" s="38"/>
      <c r="AV285" s="38"/>
      <c r="AW285" s="38"/>
      <c r="AX285" s="38"/>
    </row>
    <row r="286" spans="45:50">
      <c r="AS286" s="40" t="s">
        <v>404</v>
      </c>
      <c r="AT286" s="41" t="s">
        <v>427</v>
      </c>
      <c r="AU286" s="38"/>
      <c r="AV286" s="38"/>
      <c r="AW286" s="38"/>
      <c r="AX286" s="38"/>
    </row>
    <row r="287" spans="45:50">
      <c r="AS287" s="40" t="s">
        <v>404</v>
      </c>
      <c r="AT287" s="41" t="s">
        <v>428</v>
      </c>
      <c r="AU287" s="38"/>
      <c r="AV287" s="38"/>
      <c r="AW287" s="38"/>
      <c r="AX287" s="38"/>
    </row>
    <row r="288" spans="45:50">
      <c r="AS288" s="40" t="s">
        <v>429</v>
      </c>
      <c r="AT288" s="41" t="s">
        <v>430</v>
      </c>
      <c r="AU288" s="38"/>
      <c r="AV288" s="38"/>
      <c r="AW288" s="38"/>
      <c r="AX288" s="38"/>
    </row>
    <row r="289" spans="45:50">
      <c r="AS289" s="40" t="s">
        <v>429</v>
      </c>
      <c r="AT289" s="41" t="s">
        <v>431</v>
      </c>
      <c r="AU289" s="38"/>
      <c r="AV289" s="38"/>
      <c r="AW289" s="38"/>
      <c r="AX289" s="38"/>
    </row>
    <row r="290" spans="45:50">
      <c r="AS290" s="40" t="s">
        <v>429</v>
      </c>
      <c r="AT290" s="41" t="s">
        <v>432</v>
      </c>
      <c r="AU290" s="38"/>
      <c r="AV290" s="38"/>
      <c r="AW290" s="38"/>
      <c r="AX290" s="38"/>
    </row>
    <row r="291" spans="45:50">
      <c r="AS291" s="40" t="s">
        <v>429</v>
      </c>
      <c r="AT291" s="41" t="s">
        <v>433</v>
      </c>
      <c r="AU291" s="38"/>
      <c r="AV291" s="38"/>
      <c r="AW291" s="38"/>
      <c r="AX291" s="38"/>
    </row>
    <row r="292" spans="45:50">
      <c r="AS292" s="40" t="s">
        <v>429</v>
      </c>
      <c r="AT292" s="41" t="s">
        <v>434</v>
      </c>
      <c r="AU292" s="38"/>
      <c r="AV292" s="38"/>
      <c r="AW292" s="38"/>
      <c r="AX292" s="38"/>
    </row>
    <row r="293" spans="45:50">
      <c r="AS293" s="40" t="s">
        <v>429</v>
      </c>
      <c r="AT293" s="41" t="s">
        <v>435</v>
      </c>
      <c r="AU293" s="38"/>
      <c r="AV293" s="38"/>
      <c r="AW293" s="38"/>
      <c r="AX293" s="38"/>
    </row>
    <row r="294" spans="45:50">
      <c r="AS294" s="40" t="s">
        <v>429</v>
      </c>
      <c r="AT294" s="41" t="s">
        <v>269</v>
      </c>
      <c r="AU294" s="38"/>
      <c r="AV294" s="38"/>
      <c r="AW294" s="38"/>
      <c r="AX294" s="38"/>
    </row>
    <row r="295" spans="45:50">
      <c r="AS295" s="40" t="s">
        <v>429</v>
      </c>
      <c r="AT295" s="41" t="s">
        <v>436</v>
      </c>
      <c r="AU295" s="38"/>
      <c r="AV295" s="38"/>
      <c r="AW295" s="38"/>
      <c r="AX295" s="38"/>
    </row>
    <row r="296" spans="45:50">
      <c r="AS296" s="40" t="s">
        <v>429</v>
      </c>
      <c r="AT296" s="41" t="s">
        <v>437</v>
      </c>
      <c r="AU296" s="38"/>
      <c r="AV296" s="38"/>
      <c r="AW296" s="38"/>
      <c r="AX296" s="38"/>
    </row>
    <row r="297" spans="45:50">
      <c r="AS297" s="40" t="s">
        <v>429</v>
      </c>
      <c r="AT297" s="41" t="s">
        <v>438</v>
      </c>
      <c r="AU297" s="38"/>
      <c r="AV297" s="38"/>
      <c r="AW297" s="38"/>
      <c r="AX297" s="38"/>
    </row>
    <row r="298" spans="45:50">
      <c r="AS298" s="40" t="s">
        <v>429</v>
      </c>
      <c r="AT298" s="41" t="s">
        <v>439</v>
      </c>
      <c r="AU298" s="38"/>
      <c r="AV298" s="38"/>
      <c r="AW298" s="38"/>
      <c r="AX298" s="38"/>
    </row>
    <row r="299" spans="45:50">
      <c r="AS299" s="40" t="s">
        <v>429</v>
      </c>
      <c r="AT299" s="41" t="s">
        <v>440</v>
      </c>
      <c r="AU299" s="38"/>
      <c r="AV299" s="38"/>
      <c r="AW299" s="38"/>
      <c r="AX299" s="38"/>
    </row>
    <row r="300" spans="45:50">
      <c r="AS300" s="40" t="s">
        <v>429</v>
      </c>
      <c r="AT300" s="41" t="s">
        <v>441</v>
      </c>
      <c r="AU300" s="38"/>
      <c r="AV300" s="38"/>
      <c r="AW300" s="38"/>
      <c r="AX300" s="38"/>
    </row>
    <row r="301" spans="45:50">
      <c r="AS301" s="40" t="s">
        <v>429</v>
      </c>
      <c r="AT301" s="41" t="s">
        <v>442</v>
      </c>
      <c r="AU301" s="38"/>
      <c r="AV301" s="38"/>
      <c r="AW301" s="38"/>
      <c r="AX301" s="38"/>
    </row>
    <row r="302" spans="45:50">
      <c r="AS302" s="40" t="s">
        <v>429</v>
      </c>
      <c r="AT302" s="41" t="s">
        <v>443</v>
      </c>
      <c r="AU302" s="38"/>
      <c r="AV302" s="38"/>
      <c r="AW302" s="38"/>
      <c r="AX302" s="38"/>
    </row>
    <row r="303" spans="45:50">
      <c r="AS303" s="40" t="s">
        <v>429</v>
      </c>
      <c r="AT303" s="41" t="s">
        <v>444</v>
      </c>
      <c r="AU303" s="38"/>
      <c r="AV303" s="38"/>
      <c r="AW303" s="38"/>
      <c r="AX303" s="38"/>
    </row>
    <row r="304" spans="45:50">
      <c r="AS304" s="40" t="s">
        <v>429</v>
      </c>
      <c r="AT304" s="41" t="s">
        <v>445</v>
      </c>
      <c r="AU304" s="38"/>
      <c r="AV304" s="38"/>
      <c r="AW304" s="38"/>
      <c r="AX304" s="38"/>
    </row>
    <row r="305" spans="45:50">
      <c r="AS305" s="40" t="s">
        <v>429</v>
      </c>
      <c r="AT305" s="41" t="s">
        <v>446</v>
      </c>
      <c r="AU305" s="38"/>
      <c r="AV305" s="38"/>
      <c r="AW305" s="38"/>
      <c r="AX305" s="38"/>
    </row>
    <row r="306" spans="45:50">
      <c r="AS306" s="40" t="s">
        <v>429</v>
      </c>
      <c r="AT306" s="41" t="s">
        <v>447</v>
      </c>
      <c r="AU306" s="38"/>
      <c r="AV306" s="38"/>
      <c r="AW306" s="38"/>
      <c r="AX306" s="38"/>
    </row>
    <row r="307" spans="45:50">
      <c r="AS307" s="40" t="s">
        <v>429</v>
      </c>
      <c r="AT307" s="41" t="s">
        <v>448</v>
      </c>
      <c r="AU307" s="38"/>
      <c r="AV307" s="38"/>
      <c r="AW307" s="38"/>
      <c r="AX307" s="38"/>
    </row>
    <row r="308" spans="45:50">
      <c r="AS308" s="40" t="s">
        <v>429</v>
      </c>
      <c r="AT308" s="41" t="s">
        <v>449</v>
      </c>
      <c r="AU308" s="38"/>
      <c r="AV308" s="38"/>
      <c r="AW308" s="38"/>
      <c r="AX308" s="38"/>
    </row>
    <row r="309" spans="45:50">
      <c r="AS309" s="40" t="s">
        <v>429</v>
      </c>
      <c r="AT309" s="41" t="s">
        <v>450</v>
      </c>
      <c r="AU309" s="38"/>
      <c r="AV309" s="38"/>
      <c r="AW309" s="38"/>
      <c r="AX309" s="38"/>
    </row>
    <row r="310" spans="45:50">
      <c r="AS310" s="40" t="s">
        <v>429</v>
      </c>
      <c r="AT310" s="41" t="s">
        <v>451</v>
      </c>
      <c r="AU310" s="38"/>
      <c r="AV310" s="38"/>
      <c r="AW310" s="38"/>
      <c r="AX310" s="38"/>
    </row>
    <row r="311" spans="45:50">
      <c r="AS311" s="40" t="s">
        <v>429</v>
      </c>
      <c r="AT311" s="41" t="s">
        <v>452</v>
      </c>
      <c r="AU311" s="38"/>
      <c r="AV311" s="38"/>
      <c r="AW311" s="38"/>
      <c r="AX311" s="38"/>
    </row>
    <row r="312" spans="45:50">
      <c r="AS312" s="40" t="s">
        <v>429</v>
      </c>
      <c r="AT312" s="41" t="s">
        <v>453</v>
      </c>
      <c r="AU312" s="38"/>
      <c r="AV312" s="38"/>
      <c r="AW312" s="38"/>
      <c r="AX312" s="38"/>
    </row>
    <row r="313" spans="45:50">
      <c r="AS313" s="40" t="s">
        <v>429</v>
      </c>
      <c r="AT313" s="41" t="s">
        <v>454</v>
      </c>
      <c r="AU313" s="38"/>
      <c r="AV313" s="38"/>
      <c r="AW313" s="38"/>
      <c r="AX313" s="38"/>
    </row>
    <row r="314" spans="45:50">
      <c r="AS314" s="40" t="s">
        <v>429</v>
      </c>
      <c r="AT314" s="41" t="s">
        <v>455</v>
      </c>
      <c r="AU314" s="38"/>
      <c r="AV314" s="38"/>
      <c r="AW314" s="38"/>
      <c r="AX314" s="38"/>
    </row>
    <row r="315" spans="45:50">
      <c r="AS315" s="40" t="s">
        <v>429</v>
      </c>
      <c r="AT315" s="41" t="s">
        <v>456</v>
      </c>
      <c r="AU315" s="38"/>
      <c r="AV315" s="38"/>
      <c r="AW315" s="38"/>
      <c r="AX315" s="38"/>
    </row>
    <row r="316" spans="45:50">
      <c r="AS316" s="40" t="s">
        <v>429</v>
      </c>
      <c r="AT316" s="41" t="s">
        <v>457</v>
      </c>
      <c r="AU316" s="38"/>
      <c r="AV316" s="38"/>
      <c r="AW316" s="38"/>
      <c r="AX316" s="38"/>
    </row>
    <row r="317" spans="45:50">
      <c r="AS317" s="40" t="s">
        <v>429</v>
      </c>
      <c r="AT317" s="41" t="s">
        <v>458</v>
      </c>
      <c r="AU317" s="38"/>
      <c r="AV317" s="38"/>
      <c r="AW317" s="38"/>
      <c r="AX317" s="38"/>
    </row>
    <row r="318" spans="45:50">
      <c r="AS318" s="40" t="s">
        <v>459</v>
      </c>
      <c r="AT318" s="41" t="s">
        <v>460</v>
      </c>
      <c r="AU318" s="38"/>
      <c r="AV318" s="38"/>
      <c r="AW318" s="38"/>
      <c r="AX318" s="38"/>
    </row>
    <row r="319" spans="45:50">
      <c r="AS319" s="40" t="s">
        <v>459</v>
      </c>
      <c r="AT319" s="41" t="s">
        <v>461</v>
      </c>
      <c r="AU319" s="38"/>
      <c r="AV319" s="38"/>
      <c r="AW319" s="38"/>
      <c r="AX319" s="38"/>
    </row>
    <row r="320" spans="45:50">
      <c r="AS320" s="40" t="s">
        <v>459</v>
      </c>
      <c r="AT320" s="41" t="s">
        <v>462</v>
      </c>
      <c r="AU320" s="38"/>
      <c r="AV320" s="38"/>
      <c r="AW320" s="38"/>
      <c r="AX320" s="38"/>
    </row>
    <row r="321" spans="45:50">
      <c r="AS321" s="40" t="s">
        <v>459</v>
      </c>
      <c r="AT321" s="41" t="s">
        <v>463</v>
      </c>
      <c r="AU321" s="38"/>
      <c r="AV321" s="38"/>
      <c r="AW321" s="38"/>
      <c r="AX321" s="38"/>
    </row>
    <row r="322" spans="45:50">
      <c r="AS322" s="40" t="s">
        <v>459</v>
      </c>
      <c r="AT322" s="41" t="s">
        <v>464</v>
      </c>
      <c r="AU322" s="38"/>
      <c r="AV322" s="38"/>
      <c r="AW322" s="38"/>
      <c r="AX322" s="38"/>
    </row>
    <row r="323" spans="45:50">
      <c r="AS323" s="40" t="s">
        <v>459</v>
      </c>
      <c r="AT323" s="41" t="s">
        <v>465</v>
      </c>
      <c r="AU323" s="38"/>
      <c r="AV323" s="38"/>
      <c r="AW323" s="38"/>
      <c r="AX323" s="38"/>
    </row>
    <row r="324" spans="45:50">
      <c r="AS324" s="40" t="s">
        <v>459</v>
      </c>
      <c r="AT324" s="41" t="s">
        <v>466</v>
      </c>
      <c r="AU324" s="38"/>
      <c r="AV324" s="38"/>
      <c r="AW324" s="38"/>
      <c r="AX324" s="38"/>
    </row>
    <row r="325" spans="45:50">
      <c r="AS325" s="40" t="s">
        <v>459</v>
      </c>
      <c r="AT325" s="41" t="s">
        <v>467</v>
      </c>
      <c r="AU325" s="38"/>
      <c r="AV325" s="38"/>
      <c r="AW325" s="38"/>
      <c r="AX325" s="38"/>
    </row>
    <row r="326" spans="45:50">
      <c r="AS326" s="40" t="s">
        <v>459</v>
      </c>
      <c r="AT326" s="41" t="s">
        <v>468</v>
      </c>
      <c r="AU326" s="38"/>
      <c r="AV326" s="38"/>
      <c r="AW326" s="38"/>
      <c r="AX326" s="38"/>
    </row>
    <row r="327" spans="45:50">
      <c r="AS327" s="40" t="s">
        <v>459</v>
      </c>
      <c r="AT327" s="41" t="s">
        <v>469</v>
      </c>
      <c r="AU327" s="38"/>
      <c r="AV327" s="38"/>
      <c r="AW327" s="38"/>
      <c r="AX327" s="38"/>
    </row>
    <row r="328" spans="45:50">
      <c r="AS328" s="40" t="s">
        <v>459</v>
      </c>
      <c r="AT328" s="41" t="s">
        <v>470</v>
      </c>
      <c r="AU328" s="38"/>
      <c r="AV328" s="38"/>
      <c r="AW328" s="38"/>
      <c r="AX328" s="38"/>
    </row>
    <row r="329" spans="45:50">
      <c r="AS329" s="40" t="s">
        <v>459</v>
      </c>
      <c r="AT329" s="41" t="s">
        <v>471</v>
      </c>
      <c r="AU329" s="38"/>
      <c r="AV329" s="38"/>
      <c r="AW329" s="38"/>
      <c r="AX329" s="38"/>
    </row>
    <row r="330" spans="45:50">
      <c r="AS330" s="40" t="s">
        <v>459</v>
      </c>
      <c r="AT330" s="41" t="s">
        <v>472</v>
      </c>
      <c r="AU330" s="38"/>
      <c r="AV330" s="38"/>
      <c r="AW330" s="38"/>
      <c r="AX330" s="38"/>
    </row>
    <row r="331" spans="45:50">
      <c r="AS331" s="40" t="s">
        <v>459</v>
      </c>
      <c r="AT331" s="41" t="s">
        <v>473</v>
      </c>
      <c r="AU331" s="38"/>
      <c r="AV331" s="38"/>
      <c r="AW331" s="38"/>
      <c r="AX331" s="38"/>
    </row>
    <row r="332" spans="45:50">
      <c r="AS332" s="40" t="s">
        <v>474</v>
      </c>
      <c r="AT332" s="41" t="s">
        <v>474</v>
      </c>
      <c r="AU332" s="38"/>
      <c r="AV332" s="38"/>
      <c r="AW332" s="38"/>
      <c r="AX332" s="38"/>
    </row>
    <row r="333" spans="45:50">
      <c r="AS333" s="40" t="s">
        <v>475</v>
      </c>
      <c r="AT333" s="41" t="s">
        <v>476</v>
      </c>
      <c r="AU333" s="38"/>
      <c r="AV333" s="38"/>
      <c r="AW333" s="38"/>
      <c r="AX333" s="38"/>
    </row>
    <row r="334" spans="45:50">
      <c r="AS334" s="40" t="s">
        <v>475</v>
      </c>
      <c r="AT334" s="41" t="s">
        <v>477</v>
      </c>
      <c r="AU334" s="38"/>
      <c r="AV334" s="38"/>
      <c r="AW334" s="38"/>
      <c r="AX334" s="38"/>
    </row>
    <row r="335" spans="45:50">
      <c r="AS335" s="40" t="s">
        <v>475</v>
      </c>
      <c r="AT335" s="41" t="s">
        <v>478</v>
      </c>
      <c r="AU335" s="38"/>
      <c r="AV335" s="38"/>
      <c r="AW335" s="38"/>
      <c r="AX335" s="38"/>
    </row>
    <row r="336" spans="45:50">
      <c r="AS336" s="40" t="s">
        <v>475</v>
      </c>
      <c r="AT336" s="41" t="s">
        <v>479</v>
      </c>
      <c r="AU336" s="38"/>
      <c r="AV336" s="38"/>
      <c r="AW336" s="38"/>
      <c r="AX336" s="38"/>
    </row>
    <row r="337" spans="45:50">
      <c r="AS337" s="40" t="s">
        <v>475</v>
      </c>
      <c r="AT337" s="41" t="s">
        <v>480</v>
      </c>
      <c r="AU337" s="38"/>
      <c r="AV337" s="38"/>
      <c r="AW337" s="38"/>
      <c r="AX337" s="38"/>
    </row>
    <row r="338" spans="45:50">
      <c r="AS338" s="40" t="s">
        <v>475</v>
      </c>
      <c r="AT338" s="41" t="s">
        <v>481</v>
      </c>
      <c r="AU338" s="38"/>
      <c r="AV338" s="38"/>
      <c r="AW338" s="38"/>
      <c r="AX338" s="38"/>
    </row>
    <row r="339" spans="45:50">
      <c r="AS339" s="40" t="s">
        <v>475</v>
      </c>
      <c r="AT339" s="41" t="s">
        <v>482</v>
      </c>
      <c r="AU339" s="38"/>
      <c r="AV339" s="38"/>
      <c r="AW339" s="38"/>
      <c r="AX339" s="38"/>
    </row>
    <row r="340" spans="45:50">
      <c r="AS340" s="40" t="s">
        <v>475</v>
      </c>
      <c r="AT340" s="41" t="s">
        <v>483</v>
      </c>
      <c r="AU340" s="38"/>
      <c r="AV340" s="38"/>
      <c r="AW340" s="38"/>
      <c r="AX340" s="38"/>
    </row>
    <row r="341" spans="45:50">
      <c r="AS341" s="40" t="s">
        <v>475</v>
      </c>
      <c r="AT341" s="41" t="s">
        <v>484</v>
      </c>
      <c r="AU341" s="38"/>
      <c r="AV341" s="38"/>
      <c r="AW341" s="38"/>
      <c r="AX341" s="38"/>
    </row>
    <row r="342" spans="45:50">
      <c r="AS342" s="40" t="s">
        <v>475</v>
      </c>
      <c r="AT342" s="41" t="s">
        <v>485</v>
      </c>
      <c r="AU342" s="38"/>
      <c r="AV342" s="38"/>
      <c r="AW342" s="38"/>
      <c r="AX342" s="38"/>
    </row>
    <row r="343" spans="45:50">
      <c r="AS343" s="40" t="s">
        <v>475</v>
      </c>
      <c r="AT343" s="41" t="s">
        <v>486</v>
      </c>
      <c r="AU343" s="38"/>
      <c r="AV343" s="38"/>
      <c r="AW343" s="38"/>
      <c r="AX343" s="38"/>
    </row>
    <row r="344" spans="45:50">
      <c r="AS344" s="40" t="s">
        <v>475</v>
      </c>
      <c r="AT344" s="41" t="s">
        <v>487</v>
      </c>
      <c r="AU344" s="38"/>
      <c r="AV344" s="38"/>
      <c r="AW344" s="38"/>
      <c r="AX344" s="38"/>
    </row>
    <row r="345" spans="45:50">
      <c r="AS345" s="40" t="s">
        <v>475</v>
      </c>
      <c r="AT345" s="41" t="s">
        <v>488</v>
      </c>
      <c r="AU345" s="38"/>
      <c r="AV345" s="38"/>
      <c r="AW345" s="38"/>
      <c r="AX345" s="38"/>
    </row>
    <row r="346" spans="45:50">
      <c r="AS346" s="40" t="s">
        <v>475</v>
      </c>
      <c r="AT346" s="41" t="s">
        <v>489</v>
      </c>
      <c r="AU346" s="38"/>
      <c r="AV346" s="38"/>
      <c r="AW346" s="38"/>
      <c r="AX346" s="38"/>
    </row>
    <row r="347" spans="45:50">
      <c r="AS347" s="40" t="s">
        <v>475</v>
      </c>
      <c r="AT347" s="41" t="s">
        <v>490</v>
      </c>
      <c r="AU347" s="38"/>
      <c r="AV347" s="38"/>
      <c r="AW347" s="38"/>
      <c r="AX347" s="38"/>
    </row>
    <row r="348" spans="45:50">
      <c r="AS348" s="40" t="s">
        <v>475</v>
      </c>
      <c r="AT348" s="41" t="s">
        <v>491</v>
      </c>
      <c r="AU348" s="38"/>
      <c r="AV348" s="38"/>
      <c r="AW348" s="38"/>
      <c r="AX348" s="38"/>
    </row>
    <row r="349" spans="45:50">
      <c r="AS349" s="40" t="s">
        <v>475</v>
      </c>
      <c r="AT349" s="41" t="s">
        <v>492</v>
      </c>
      <c r="AU349" s="38"/>
      <c r="AV349" s="38"/>
      <c r="AW349" s="38"/>
      <c r="AX349" s="38"/>
    </row>
    <row r="350" spans="45:50">
      <c r="AS350" s="40" t="s">
        <v>475</v>
      </c>
      <c r="AT350" s="41" t="s">
        <v>493</v>
      </c>
      <c r="AU350" s="38"/>
      <c r="AV350" s="38"/>
      <c r="AW350" s="38"/>
      <c r="AX350" s="38"/>
    </row>
    <row r="351" spans="45:50">
      <c r="AS351" s="40" t="s">
        <v>475</v>
      </c>
      <c r="AT351" s="41" t="s">
        <v>494</v>
      </c>
      <c r="AU351" s="38"/>
      <c r="AV351" s="38"/>
      <c r="AW351" s="38"/>
      <c r="AX351" s="38"/>
    </row>
    <row r="352" spans="45:50">
      <c r="AS352" s="40" t="s">
        <v>475</v>
      </c>
      <c r="AT352" s="41" t="s">
        <v>495</v>
      </c>
      <c r="AU352" s="38"/>
      <c r="AV352" s="38"/>
      <c r="AW352" s="38"/>
      <c r="AX352" s="38"/>
    </row>
    <row r="353" spans="45:50">
      <c r="AS353" s="40" t="s">
        <v>475</v>
      </c>
      <c r="AT353" s="41" t="s">
        <v>496</v>
      </c>
      <c r="AU353" s="38"/>
      <c r="AV353" s="38"/>
      <c r="AW353" s="38"/>
      <c r="AX353" s="38"/>
    </row>
    <row r="354" spans="45:50">
      <c r="AS354" s="40" t="s">
        <v>475</v>
      </c>
      <c r="AT354" s="41" t="s">
        <v>497</v>
      </c>
      <c r="AU354" s="38"/>
      <c r="AV354" s="38"/>
      <c r="AW354" s="38"/>
      <c r="AX354" s="38"/>
    </row>
    <row r="355" spans="45:50">
      <c r="AS355" s="40" t="s">
        <v>475</v>
      </c>
      <c r="AT355" s="41" t="s">
        <v>498</v>
      </c>
      <c r="AU355" s="38"/>
      <c r="AV355" s="38"/>
      <c r="AW355" s="38"/>
      <c r="AX355" s="38"/>
    </row>
    <row r="356" spans="45:50">
      <c r="AS356" s="40" t="s">
        <v>475</v>
      </c>
      <c r="AT356" s="41" t="s">
        <v>499</v>
      </c>
      <c r="AU356" s="38"/>
      <c r="AV356" s="38"/>
      <c r="AW356" s="38"/>
      <c r="AX356" s="38"/>
    </row>
    <row r="357" spans="45:50">
      <c r="AS357" s="40" t="s">
        <v>475</v>
      </c>
      <c r="AT357" s="41" t="s">
        <v>500</v>
      </c>
      <c r="AU357" s="38"/>
      <c r="AV357" s="38"/>
      <c r="AW357" s="38"/>
      <c r="AX357" s="38"/>
    </row>
    <row r="358" spans="45:50">
      <c r="AS358" s="40" t="s">
        <v>475</v>
      </c>
      <c r="AT358" s="41" t="s">
        <v>501</v>
      </c>
      <c r="AU358" s="38"/>
      <c r="AV358" s="38"/>
      <c r="AW358" s="38"/>
      <c r="AX358" s="38"/>
    </row>
    <row r="359" spans="45:50">
      <c r="AS359" s="40" t="s">
        <v>475</v>
      </c>
      <c r="AT359" s="41" t="s">
        <v>502</v>
      </c>
      <c r="AU359" s="38"/>
      <c r="AV359" s="38"/>
      <c r="AW359" s="38"/>
      <c r="AX359" s="38"/>
    </row>
    <row r="360" spans="45:50">
      <c r="AS360" s="40" t="s">
        <v>475</v>
      </c>
      <c r="AT360" s="41" t="s">
        <v>503</v>
      </c>
      <c r="AU360" s="38"/>
      <c r="AV360" s="38"/>
      <c r="AW360" s="38"/>
      <c r="AX360" s="38"/>
    </row>
    <row r="361" spans="45:50">
      <c r="AS361" s="40" t="s">
        <v>475</v>
      </c>
      <c r="AT361" s="41" t="s">
        <v>504</v>
      </c>
      <c r="AU361" s="38"/>
      <c r="AV361" s="38"/>
      <c r="AW361" s="38"/>
      <c r="AX361" s="38"/>
    </row>
    <row r="362" spans="45:50">
      <c r="AS362" s="40" t="s">
        <v>475</v>
      </c>
      <c r="AT362" s="41" t="s">
        <v>505</v>
      </c>
      <c r="AU362" s="38"/>
      <c r="AV362" s="38"/>
      <c r="AW362" s="38"/>
      <c r="AX362" s="38"/>
    </row>
    <row r="363" spans="45:50">
      <c r="AS363" s="40" t="s">
        <v>475</v>
      </c>
      <c r="AT363" s="41" t="s">
        <v>506</v>
      </c>
      <c r="AU363" s="38"/>
      <c r="AV363" s="38"/>
      <c r="AW363" s="38"/>
      <c r="AX363" s="38"/>
    </row>
    <row r="364" spans="45:50">
      <c r="AS364" s="40" t="s">
        <v>475</v>
      </c>
      <c r="AT364" s="41" t="s">
        <v>507</v>
      </c>
      <c r="AU364" s="38"/>
      <c r="AV364" s="38"/>
      <c r="AW364" s="38"/>
      <c r="AX364" s="38"/>
    </row>
    <row r="365" spans="45:50">
      <c r="AS365" s="40" t="s">
        <v>475</v>
      </c>
      <c r="AT365" s="41" t="s">
        <v>508</v>
      </c>
      <c r="AU365" s="38"/>
      <c r="AV365" s="38"/>
      <c r="AW365" s="38"/>
      <c r="AX365" s="38"/>
    </row>
    <row r="366" spans="45:50">
      <c r="AS366" s="40" t="s">
        <v>475</v>
      </c>
      <c r="AT366" s="41" t="s">
        <v>509</v>
      </c>
      <c r="AU366" s="38"/>
      <c r="AV366" s="38"/>
      <c r="AW366" s="38"/>
      <c r="AX366" s="38"/>
    </row>
    <row r="367" spans="45:50">
      <c r="AS367" s="40" t="s">
        <v>475</v>
      </c>
      <c r="AT367" s="41" t="s">
        <v>510</v>
      </c>
      <c r="AU367" s="38"/>
      <c r="AV367" s="38"/>
      <c r="AW367" s="38"/>
      <c r="AX367" s="38"/>
    </row>
    <row r="368" spans="45:50">
      <c r="AS368" s="40" t="s">
        <v>475</v>
      </c>
      <c r="AT368" s="41" t="s">
        <v>511</v>
      </c>
      <c r="AU368" s="38"/>
      <c r="AV368" s="38"/>
      <c r="AW368" s="38"/>
      <c r="AX368" s="38"/>
    </row>
    <row r="369" spans="45:50">
      <c r="AS369" s="40" t="s">
        <v>475</v>
      </c>
      <c r="AT369" s="41" t="s">
        <v>512</v>
      </c>
      <c r="AU369" s="38"/>
      <c r="AV369" s="38"/>
      <c r="AW369" s="38"/>
      <c r="AX369" s="38"/>
    </row>
    <row r="370" spans="45:50">
      <c r="AS370" s="40" t="s">
        <v>475</v>
      </c>
      <c r="AT370" s="41" t="s">
        <v>513</v>
      </c>
      <c r="AU370" s="38"/>
      <c r="AV370" s="38"/>
      <c r="AW370" s="38"/>
      <c r="AX370" s="38"/>
    </row>
    <row r="371" spans="45:50">
      <c r="AS371" s="40" t="s">
        <v>475</v>
      </c>
      <c r="AT371" s="41" t="s">
        <v>514</v>
      </c>
      <c r="AU371" s="38"/>
      <c r="AV371" s="38"/>
      <c r="AW371" s="38"/>
      <c r="AX371" s="38"/>
    </row>
    <row r="372" spans="45:50">
      <c r="AS372" s="40" t="s">
        <v>475</v>
      </c>
      <c r="AT372" s="41" t="s">
        <v>515</v>
      </c>
      <c r="AU372" s="38"/>
      <c r="AV372" s="38"/>
      <c r="AW372" s="38"/>
      <c r="AX372" s="38"/>
    </row>
    <row r="373" spans="45:50">
      <c r="AS373" s="40" t="s">
        <v>475</v>
      </c>
      <c r="AT373" s="41" t="s">
        <v>516</v>
      </c>
      <c r="AU373" s="38"/>
      <c r="AV373" s="38"/>
      <c r="AW373" s="38"/>
      <c r="AX373" s="38"/>
    </row>
    <row r="374" spans="45:50">
      <c r="AS374" s="40" t="s">
        <v>475</v>
      </c>
      <c r="AT374" s="41" t="s">
        <v>517</v>
      </c>
      <c r="AU374" s="38"/>
      <c r="AV374" s="38"/>
      <c r="AW374" s="38"/>
      <c r="AX374" s="38"/>
    </row>
    <row r="375" spans="45:50">
      <c r="AS375" s="40" t="s">
        <v>475</v>
      </c>
      <c r="AT375" s="41" t="s">
        <v>518</v>
      </c>
      <c r="AU375" s="38"/>
      <c r="AV375" s="38"/>
      <c r="AW375" s="38"/>
      <c r="AX375" s="38"/>
    </row>
    <row r="376" spans="45:50">
      <c r="AS376" s="40" t="s">
        <v>475</v>
      </c>
      <c r="AT376" s="41" t="s">
        <v>519</v>
      </c>
      <c r="AU376" s="38"/>
      <c r="AV376" s="38"/>
      <c r="AW376" s="38"/>
      <c r="AX376" s="38"/>
    </row>
    <row r="377" spans="45:50">
      <c r="AS377" s="40" t="s">
        <v>475</v>
      </c>
      <c r="AT377" s="41" t="s">
        <v>520</v>
      </c>
      <c r="AU377" s="38"/>
      <c r="AV377" s="38"/>
      <c r="AW377" s="38"/>
      <c r="AX377" s="38"/>
    </row>
    <row r="378" spans="45:50">
      <c r="AS378" s="40" t="s">
        <v>475</v>
      </c>
      <c r="AT378" s="41" t="s">
        <v>521</v>
      </c>
      <c r="AU378" s="38"/>
      <c r="AV378" s="38"/>
      <c r="AW378" s="38"/>
      <c r="AX378" s="38"/>
    </row>
    <row r="379" spans="45:50">
      <c r="AS379" s="40" t="s">
        <v>475</v>
      </c>
      <c r="AT379" s="41" t="s">
        <v>522</v>
      </c>
      <c r="AU379" s="38"/>
      <c r="AV379" s="38"/>
      <c r="AW379" s="38"/>
      <c r="AX379" s="38"/>
    </row>
    <row r="380" spans="45:50">
      <c r="AS380" s="40" t="s">
        <v>475</v>
      </c>
      <c r="AT380" s="41" t="s">
        <v>523</v>
      </c>
      <c r="AU380" s="38"/>
      <c r="AV380" s="38"/>
      <c r="AW380" s="38"/>
      <c r="AX380" s="38"/>
    </row>
    <row r="381" spans="45:50">
      <c r="AS381" s="40" t="s">
        <v>475</v>
      </c>
      <c r="AT381" s="41" t="s">
        <v>524</v>
      </c>
      <c r="AU381" s="38"/>
      <c r="AV381" s="38"/>
      <c r="AW381" s="38"/>
      <c r="AX381" s="38"/>
    </row>
    <row r="382" spans="45:50">
      <c r="AS382" s="40" t="s">
        <v>475</v>
      </c>
      <c r="AT382" s="56" t="s">
        <v>525</v>
      </c>
      <c r="AU382" s="38"/>
      <c r="AV382" s="38"/>
      <c r="AW382" s="38"/>
      <c r="AX382" s="38"/>
    </row>
    <row r="383" spans="45:50">
      <c r="AS383" s="40" t="s">
        <v>475</v>
      </c>
      <c r="AT383" s="41" t="s">
        <v>526</v>
      </c>
      <c r="AU383" s="38"/>
      <c r="AV383" s="38"/>
      <c r="AW383" s="38"/>
      <c r="AX383" s="38"/>
    </row>
    <row r="384" spans="45:50">
      <c r="AS384" s="40" t="s">
        <v>527</v>
      </c>
      <c r="AT384" s="41" t="s">
        <v>528</v>
      </c>
      <c r="AU384" s="38"/>
      <c r="AV384" s="38"/>
      <c r="AW384" s="38"/>
      <c r="AX384" s="38"/>
    </row>
    <row r="385" spans="45:50">
      <c r="AS385" s="40" t="s">
        <v>527</v>
      </c>
      <c r="AT385" s="41" t="s">
        <v>529</v>
      </c>
      <c r="AU385" s="38"/>
      <c r="AV385" s="38"/>
      <c r="AW385" s="38"/>
      <c r="AX385" s="38"/>
    </row>
    <row r="386" spans="45:50">
      <c r="AS386" s="40" t="s">
        <v>527</v>
      </c>
      <c r="AT386" s="41" t="s">
        <v>530</v>
      </c>
      <c r="AU386" s="38"/>
      <c r="AV386" s="38"/>
      <c r="AW386" s="38"/>
      <c r="AX386" s="38"/>
    </row>
    <row r="387" spans="45:50">
      <c r="AS387" s="40" t="s">
        <v>527</v>
      </c>
      <c r="AT387" s="41" t="s">
        <v>226</v>
      </c>
      <c r="AU387" s="38"/>
      <c r="AV387" s="38"/>
      <c r="AW387" s="38"/>
      <c r="AX387" s="38"/>
    </row>
    <row r="388" spans="45:50">
      <c r="AS388" s="40" t="s">
        <v>527</v>
      </c>
      <c r="AT388" s="41" t="s">
        <v>531</v>
      </c>
      <c r="AU388" s="38"/>
      <c r="AV388" s="38"/>
      <c r="AW388" s="38"/>
      <c r="AX388" s="38"/>
    </row>
    <row r="389" spans="45:50">
      <c r="AS389" s="40" t="s">
        <v>527</v>
      </c>
      <c r="AT389" s="41" t="s">
        <v>532</v>
      </c>
      <c r="AU389" s="38"/>
      <c r="AV389" s="38"/>
      <c r="AW389" s="38"/>
      <c r="AX389" s="38"/>
    </row>
    <row r="390" spans="45:50">
      <c r="AS390" s="40" t="s">
        <v>527</v>
      </c>
      <c r="AT390" s="41" t="s">
        <v>533</v>
      </c>
      <c r="AU390" s="38"/>
      <c r="AV390" s="38"/>
      <c r="AW390" s="38"/>
      <c r="AX390" s="38"/>
    </row>
    <row r="391" spans="45:50">
      <c r="AS391" s="40" t="s">
        <v>527</v>
      </c>
      <c r="AT391" s="41" t="s">
        <v>534</v>
      </c>
      <c r="AU391" s="38"/>
      <c r="AV391" s="38"/>
      <c r="AW391" s="38"/>
      <c r="AX391" s="38"/>
    </row>
    <row r="392" spans="45:50">
      <c r="AS392" s="40" t="s">
        <v>527</v>
      </c>
      <c r="AT392" s="41" t="s">
        <v>535</v>
      </c>
      <c r="AU392" s="38"/>
      <c r="AV392" s="38"/>
      <c r="AW392" s="38"/>
      <c r="AX392" s="38"/>
    </row>
    <row r="393" spans="45:50">
      <c r="AS393" s="40" t="s">
        <v>527</v>
      </c>
      <c r="AT393" s="41" t="s">
        <v>536</v>
      </c>
      <c r="AU393" s="38"/>
      <c r="AV393" s="38"/>
      <c r="AW393" s="38"/>
      <c r="AX393" s="38"/>
    </row>
    <row r="394" spans="45:50">
      <c r="AS394" s="40" t="s">
        <v>527</v>
      </c>
      <c r="AT394" s="41" t="s">
        <v>537</v>
      </c>
      <c r="AU394" s="38"/>
      <c r="AV394" s="38"/>
      <c r="AW394" s="38"/>
      <c r="AX394" s="38"/>
    </row>
    <row r="395" spans="45:50">
      <c r="AS395" s="40" t="s">
        <v>527</v>
      </c>
      <c r="AT395" s="41" t="s">
        <v>538</v>
      </c>
      <c r="AU395" s="38"/>
      <c r="AV395" s="38"/>
      <c r="AW395" s="38"/>
      <c r="AX395" s="38"/>
    </row>
    <row r="396" spans="45:50">
      <c r="AS396" s="40" t="s">
        <v>527</v>
      </c>
      <c r="AT396" s="41" t="s">
        <v>539</v>
      </c>
      <c r="AU396" s="38"/>
      <c r="AV396" s="38"/>
      <c r="AW396" s="38"/>
      <c r="AX396" s="38"/>
    </row>
    <row r="397" spans="45:50">
      <c r="AS397" s="40" t="s">
        <v>527</v>
      </c>
      <c r="AT397" s="41" t="s">
        <v>540</v>
      </c>
      <c r="AU397" s="38"/>
      <c r="AV397" s="38"/>
      <c r="AW397" s="38"/>
      <c r="AX397" s="38"/>
    </row>
    <row r="398" spans="45:50">
      <c r="AS398" s="40" t="s">
        <v>527</v>
      </c>
      <c r="AT398" s="41" t="s">
        <v>541</v>
      </c>
      <c r="AU398" s="38"/>
      <c r="AV398" s="38"/>
      <c r="AW398" s="38"/>
      <c r="AX398" s="38"/>
    </row>
    <row r="399" spans="45:50">
      <c r="AS399" s="40" t="s">
        <v>527</v>
      </c>
      <c r="AT399" s="41" t="s">
        <v>542</v>
      </c>
      <c r="AU399" s="38"/>
      <c r="AV399" s="38"/>
      <c r="AW399" s="38"/>
      <c r="AX399" s="38"/>
    </row>
    <row r="400" spans="45:50">
      <c r="AS400" s="40" t="s">
        <v>527</v>
      </c>
      <c r="AT400" s="57" t="s">
        <v>543</v>
      </c>
      <c r="AU400" s="38"/>
      <c r="AV400" s="38"/>
      <c r="AW400" s="38"/>
      <c r="AX400" s="38"/>
    </row>
    <row r="401" spans="45:50">
      <c r="AS401" s="40" t="s">
        <v>527</v>
      </c>
      <c r="AT401" s="57" t="s">
        <v>544</v>
      </c>
      <c r="AU401" s="38"/>
      <c r="AV401" s="38"/>
      <c r="AW401" s="38"/>
      <c r="AX401" s="38"/>
    </row>
    <row r="402" spans="45:50">
      <c r="AS402" s="40" t="s">
        <v>527</v>
      </c>
      <c r="AT402" s="41" t="s">
        <v>545</v>
      </c>
      <c r="AU402" s="38"/>
      <c r="AV402" s="38"/>
      <c r="AW402" s="38"/>
      <c r="AX402" s="38"/>
    </row>
    <row r="403" spans="45:50">
      <c r="AS403" s="40" t="s">
        <v>527</v>
      </c>
      <c r="AT403" s="41" t="s">
        <v>546</v>
      </c>
      <c r="AU403" s="38"/>
      <c r="AV403" s="38"/>
      <c r="AW403" s="38"/>
      <c r="AX403" s="38"/>
    </row>
    <row r="404" spans="45:50">
      <c r="AS404" s="40" t="s">
        <v>527</v>
      </c>
      <c r="AT404" s="41" t="s">
        <v>547</v>
      </c>
      <c r="AU404" s="38"/>
      <c r="AV404" s="38"/>
      <c r="AW404" s="38"/>
      <c r="AX404" s="38"/>
    </row>
    <row r="405" spans="45:50">
      <c r="AS405" s="40" t="s">
        <v>527</v>
      </c>
      <c r="AT405" s="41" t="s">
        <v>548</v>
      </c>
      <c r="AU405" s="38"/>
      <c r="AV405" s="38"/>
      <c r="AW405" s="38"/>
      <c r="AX405" s="38"/>
    </row>
    <row r="406" spans="45:50">
      <c r="AS406" s="40" t="s">
        <v>527</v>
      </c>
      <c r="AT406" s="41" t="s">
        <v>549</v>
      </c>
      <c r="AU406" s="38"/>
      <c r="AV406" s="38"/>
      <c r="AW406" s="38"/>
      <c r="AX406" s="38"/>
    </row>
    <row r="407" spans="45:50">
      <c r="AS407" s="40" t="s">
        <v>527</v>
      </c>
      <c r="AT407" s="41" t="s">
        <v>550</v>
      </c>
      <c r="AU407" s="38"/>
      <c r="AV407" s="38"/>
      <c r="AW407" s="38"/>
      <c r="AX407" s="38"/>
    </row>
    <row r="408" spans="45:50">
      <c r="AS408" s="40" t="s">
        <v>527</v>
      </c>
      <c r="AT408" s="41" t="s">
        <v>551</v>
      </c>
      <c r="AU408" s="38"/>
      <c r="AV408" s="38"/>
      <c r="AW408" s="38"/>
      <c r="AX408" s="38"/>
    </row>
    <row r="409" spans="45:50">
      <c r="AS409" s="40" t="s">
        <v>527</v>
      </c>
      <c r="AT409" s="41" t="s">
        <v>552</v>
      </c>
      <c r="AU409" s="38"/>
      <c r="AV409" s="38"/>
      <c r="AW409" s="38"/>
      <c r="AX409" s="38"/>
    </row>
    <row r="410" spans="45:50">
      <c r="AS410" s="40" t="s">
        <v>527</v>
      </c>
      <c r="AT410" s="41" t="s">
        <v>285</v>
      </c>
      <c r="AU410" s="38"/>
      <c r="AV410" s="38"/>
      <c r="AW410" s="38"/>
      <c r="AX410" s="38"/>
    </row>
    <row r="411" spans="45:50">
      <c r="AS411" s="40" t="s">
        <v>527</v>
      </c>
      <c r="AT411" s="41" t="s">
        <v>553</v>
      </c>
      <c r="AU411" s="38"/>
      <c r="AV411" s="38"/>
      <c r="AW411" s="38"/>
      <c r="AX411" s="38"/>
    </row>
    <row r="412" spans="45:50">
      <c r="AS412" s="40" t="s">
        <v>527</v>
      </c>
      <c r="AT412" s="41" t="s">
        <v>554</v>
      </c>
      <c r="AU412" s="38"/>
      <c r="AV412" s="38"/>
      <c r="AW412" s="38"/>
      <c r="AX412" s="38"/>
    </row>
    <row r="413" spans="45:50">
      <c r="AS413" s="40" t="s">
        <v>527</v>
      </c>
      <c r="AT413" s="41" t="s">
        <v>555</v>
      </c>
      <c r="AU413" s="38"/>
      <c r="AV413" s="38"/>
      <c r="AW413" s="38"/>
      <c r="AX413" s="38"/>
    </row>
    <row r="414" spans="45:50">
      <c r="AS414" s="40" t="s">
        <v>527</v>
      </c>
      <c r="AT414" s="41" t="s">
        <v>556</v>
      </c>
      <c r="AU414" s="38"/>
      <c r="AV414" s="38"/>
      <c r="AW414" s="38"/>
      <c r="AX414" s="38"/>
    </row>
    <row r="415" spans="45:50">
      <c r="AS415" s="40" t="s">
        <v>527</v>
      </c>
      <c r="AT415" s="41" t="s">
        <v>557</v>
      </c>
      <c r="AU415" s="38"/>
      <c r="AV415" s="38"/>
      <c r="AW415" s="38"/>
      <c r="AX415" s="38"/>
    </row>
    <row r="416" spans="45:50">
      <c r="AS416" s="40" t="s">
        <v>527</v>
      </c>
      <c r="AT416" s="41" t="s">
        <v>558</v>
      </c>
      <c r="AU416" s="38"/>
      <c r="AV416" s="38"/>
      <c r="AW416" s="38"/>
      <c r="AX416" s="38"/>
    </row>
    <row r="417" spans="45:50">
      <c r="AS417" s="40" t="s">
        <v>527</v>
      </c>
      <c r="AT417" s="41" t="s">
        <v>559</v>
      </c>
      <c r="AU417" s="38"/>
      <c r="AV417" s="38"/>
      <c r="AW417" s="38"/>
      <c r="AX417" s="38"/>
    </row>
    <row r="418" spans="45:50">
      <c r="AS418" s="40" t="s">
        <v>527</v>
      </c>
      <c r="AT418" s="41" t="s">
        <v>560</v>
      </c>
      <c r="AU418" s="38"/>
      <c r="AV418" s="38"/>
      <c r="AW418" s="38"/>
      <c r="AX418" s="38"/>
    </row>
    <row r="419" spans="45:50">
      <c r="AS419" s="40" t="s">
        <v>527</v>
      </c>
      <c r="AT419" s="41" t="s">
        <v>561</v>
      </c>
      <c r="AU419" s="38"/>
      <c r="AV419" s="38"/>
      <c r="AW419" s="38"/>
      <c r="AX419" s="38"/>
    </row>
    <row r="420" spans="45:50">
      <c r="AS420" s="40" t="s">
        <v>562</v>
      </c>
      <c r="AT420" s="41" t="s">
        <v>563</v>
      </c>
      <c r="AU420" s="38"/>
      <c r="AV420" s="38"/>
      <c r="AW420" s="38"/>
      <c r="AX420" s="38"/>
    </row>
    <row r="421" spans="45:50">
      <c r="AS421" s="40" t="s">
        <v>562</v>
      </c>
      <c r="AT421" s="41" t="s">
        <v>564</v>
      </c>
      <c r="AU421" s="38"/>
      <c r="AV421" s="38"/>
      <c r="AW421" s="38"/>
      <c r="AX421" s="38"/>
    </row>
    <row r="422" spans="45:50">
      <c r="AS422" s="40" t="s">
        <v>562</v>
      </c>
      <c r="AT422" s="41" t="s">
        <v>565</v>
      </c>
      <c r="AU422" s="38"/>
      <c r="AV422" s="38"/>
      <c r="AW422" s="38"/>
      <c r="AX422" s="38"/>
    </row>
    <row r="423" spans="45:50">
      <c r="AS423" s="40" t="s">
        <v>562</v>
      </c>
      <c r="AT423" s="41" t="s">
        <v>566</v>
      </c>
      <c r="AU423" s="38"/>
      <c r="AV423" s="38"/>
      <c r="AW423" s="38"/>
      <c r="AX423" s="38"/>
    </row>
    <row r="424" spans="45:50">
      <c r="AS424" s="40" t="s">
        <v>562</v>
      </c>
      <c r="AT424" s="41" t="s">
        <v>567</v>
      </c>
      <c r="AU424" s="38"/>
      <c r="AV424" s="38"/>
      <c r="AW424" s="38"/>
      <c r="AX424" s="38"/>
    </row>
    <row r="425" spans="45:50">
      <c r="AS425" s="40" t="s">
        <v>562</v>
      </c>
      <c r="AT425" s="41" t="s">
        <v>568</v>
      </c>
      <c r="AU425" s="38"/>
      <c r="AV425" s="38"/>
      <c r="AW425" s="38"/>
      <c r="AX425" s="38"/>
    </row>
    <row r="426" spans="45:50">
      <c r="AS426" s="40" t="s">
        <v>562</v>
      </c>
      <c r="AT426" s="41" t="s">
        <v>569</v>
      </c>
      <c r="AU426" s="38"/>
      <c r="AV426" s="38"/>
      <c r="AW426" s="38"/>
      <c r="AX426" s="38"/>
    </row>
    <row r="427" spans="45:50">
      <c r="AS427" s="40" t="s">
        <v>562</v>
      </c>
      <c r="AT427" s="41" t="s">
        <v>570</v>
      </c>
      <c r="AU427" s="38"/>
      <c r="AV427" s="38"/>
      <c r="AW427" s="38"/>
      <c r="AX427" s="38"/>
    </row>
    <row r="428" spans="45:50">
      <c r="AS428" s="40" t="s">
        <v>562</v>
      </c>
      <c r="AT428" s="41" t="s">
        <v>571</v>
      </c>
      <c r="AU428" s="38"/>
      <c r="AV428" s="38"/>
      <c r="AW428" s="38"/>
      <c r="AX428" s="38"/>
    </row>
    <row r="429" spans="45:50">
      <c r="AS429" s="40" t="s">
        <v>562</v>
      </c>
      <c r="AT429" s="41" t="s">
        <v>572</v>
      </c>
      <c r="AU429" s="38"/>
      <c r="AV429" s="38"/>
      <c r="AW429" s="38"/>
      <c r="AX429" s="38"/>
    </row>
    <row r="430" spans="45:50">
      <c r="AS430" s="40" t="s">
        <v>562</v>
      </c>
      <c r="AT430" s="41" t="s">
        <v>573</v>
      </c>
      <c r="AU430" s="38"/>
      <c r="AV430" s="38"/>
      <c r="AW430" s="38"/>
      <c r="AX430" s="38"/>
    </row>
    <row r="431" spans="45:50">
      <c r="AS431" s="40" t="s">
        <v>562</v>
      </c>
      <c r="AT431" s="41" t="s">
        <v>574</v>
      </c>
      <c r="AU431" s="38"/>
      <c r="AV431" s="38"/>
      <c r="AW431" s="38"/>
      <c r="AX431" s="38"/>
    </row>
    <row r="432" spans="45:50">
      <c r="AS432" s="40" t="s">
        <v>562</v>
      </c>
      <c r="AT432" s="41" t="s">
        <v>575</v>
      </c>
      <c r="AU432" s="38"/>
      <c r="AV432" s="38"/>
      <c r="AW432" s="38"/>
      <c r="AX432" s="38"/>
    </row>
    <row r="433" spans="45:50">
      <c r="AS433" s="40" t="s">
        <v>562</v>
      </c>
      <c r="AT433" s="41" t="s">
        <v>576</v>
      </c>
      <c r="AU433" s="38"/>
      <c r="AV433" s="38"/>
      <c r="AW433" s="38"/>
      <c r="AX433" s="38"/>
    </row>
    <row r="434" spans="45:50">
      <c r="AS434" s="40" t="s">
        <v>562</v>
      </c>
      <c r="AT434" s="41" t="s">
        <v>577</v>
      </c>
      <c r="AU434" s="38"/>
      <c r="AV434" s="38"/>
      <c r="AW434" s="38"/>
      <c r="AX434" s="38"/>
    </row>
    <row r="435" spans="45:50">
      <c r="AS435" s="40" t="s">
        <v>562</v>
      </c>
      <c r="AT435" s="41" t="s">
        <v>578</v>
      </c>
      <c r="AU435" s="38"/>
      <c r="AV435" s="38"/>
      <c r="AW435" s="38"/>
      <c r="AX435" s="38"/>
    </row>
    <row r="436" spans="45:50">
      <c r="AS436" s="40" t="s">
        <v>579</v>
      </c>
      <c r="AT436" s="41" t="s">
        <v>580</v>
      </c>
      <c r="AU436" s="38"/>
      <c r="AV436" s="38"/>
      <c r="AW436" s="38"/>
      <c r="AX436" s="38"/>
    </row>
    <row r="437" spans="45:50">
      <c r="AS437" s="40" t="s">
        <v>579</v>
      </c>
      <c r="AT437" s="41" t="s">
        <v>581</v>
      </c>
      <c r="AU437" s="38"/>
      <c r="AV437" s="38"/>
      <c r="AW437" s="38"/>
      <c r="AX437" s="38"/>
    </row>
    <row r="438" spans="45:50">
      <c r="AS438" s="40" t="s">
        <v>579</v>
      </c>
      <c r="AT438" s="41" t="s">
        <v>582</v>
      </c>
      <c r="AU438" s="38"/>
      <c r="AV438" s="38"/>
      <c r="AW438" s="38"/>
      <c r="AX438" s="38"/>
    </row>
    <row r="439" spans="45:50">
      <c r="AS439" s="40" t="s">
        <v>579</v>
      </c>
      <c r="AT439" s="41" t="s">
        <v>583</v>
      </c>
      <c r="AU439" s="38"/>
      <c r="AV439" s="38"/>
      <c r="AW439" s="38"/>
      <c r="AX439" s="38"/>
    </row>
    <row r="440" spans="45:50">
      <c r="AS440" s="40" t="s">
        <v>579</v>
      </c>
      <c r="AT440" s="41" t="s">
        <v>584</v>
      </c>
      <c r="AU440" s="38"/>
      <c r="AV440" s="38"/>
      <c r="AW440" s="38"/>
      <c r="AX440" s="38"/>
    </row>
    <row r="441" spans="45:50">
      <c r="AS441" s="40" t="s">
        <v>579</v>
      </c>
      <c r="AT441" s="41" t="s">
        <v>585</v>
      </c>
      <c r="AU441" s="38"/>
      <c r="AV441" s="38"/>
      <c r="AW441" s="38"/>
      <c r="AX441" s="38"/>
    </row>
    <row r="442" spans="45:50">
      <c r="AS442" s="40" t="s">
        <v>579</v>
      </c>
      <c r="AT442" s="41" t="s">
        <v>586</v>
      </c>
      <c r="AU442" s="38"/>
      <c r="AV442" s="38"/>
      <c r="AW442" s="38"/>
      <c r="AX442" s="38"/>
    </row>
    <row r="443" spans="45:50">
      <c r="AS443" s="40" t="s">
        <v>579</v>
      </c>
      <c r="AT443" s="41" t="s">
        <v>587</v>
      </c>
      <c r="AU443" s="38"/>
      <c r="AV443" s="38"/>
      <c r="AW443" s="38"/>
      <c r="AX443" s="38"/>
    </row>
    <row r="444" spans="45:50">
      <c r="AS444" s="40" t="s">
        <v>579</v>
      </c>
      <c r="AT444" s="41" t="s">
        <v>588</v>
      </c>
      <c r="AU444" s="38"/>
      <c r="AV444" s="38"/>
      <c r="AW444" s="38"/>
      <c r="AX444" s="38"/>
    </row>
    <row r="445" spans="45:50">
      <c r="AS445" s="40" t="s">
        <v>579</v>
      </c>
      <c r="AT445" s="41" t="s">
        <v>589</v>
      </c>
      <c r="AU445" s="38"/>
      <c r="AV445" s="38"/>
      <c r="AW445" s="38"/>
      <c r="AX445" s="38"/>
    </row>
    <row r="446" spans="45:50">
      <c r="AS446" s="40" t="s">
        <v>579</v>
      </c>
      <c r="AT446" s="41" t="s">
        <v>590</v>
      </c>
      <c r="AU446" s="38"/>
      <c r="AV446" s="38"/>
      <c r="AW446" s="38"/>
      <c r="AX446" s="38"/>
    </row>
    <row r="447" spans="45:50">
      <c r="AS447" s="40" t="s">
        <v>591</v>
      </c>
      <c r="AT447" s="41" t="s">
        <v>592</v>
      </c>
      <c r="AU447" s="38"/>
      <c r="AV447" s="38"/>
      <c r="AW447" s="38"/>
      <c r="AX447" s="38"/>
    </row>
    <row r="448" spans="45:50">
      <c r="AS448" s="40" t="s">
        <v>591</v>
      </c>
      <c r="AT448" s="41" t="s">
        <v>593</v>
      </c>
      <c r="AU448" s="38"/>
      <c r="AV448" s="38"/>
      <c r="AW448" s="38"/>
      <c r="AX448" s="38"/>
    </row>
    <row r="449" spans="45:50">
      <c r="AS449" s="40" t="s">
        <v>591</v>
      </c>
      <c r="AT449" s="41" t="s">
        <v>594</v>
      </c>
      <c r="AU449" s="38"/>
      <c r="AV449" s="38"/>
      <c r="AW449" s="38"/>
      <c r="AX449" s="38"/>
    </row>
    <row r="450" spans="45:50">
      <c r="AS450" s="40" t="s">
        <v>591</v>
      </c>
      <c r="AT450" s="41" t="s">
        <v>595</v>
      </c>
      <c r="AU450" s="38"/>
      <c r="AV450" s="38"/>
      <c r="AW450" s="38"/>
      <c r="AX450" s="38"/>
    </row>
    <row r="451" spans="45:50">
      <c r="AS451" s="40" t="s">
        <v>591</v>
      </c>
      <c r="AT451" s="41" t="s">
        <v>596</v>
      </c>
      <c r="AU451" s="38"/>
      <c r="AV451" s="38"/>
      <c r="AW451" s="38"/>
      <c r="AX451" s="38"/>
    </row>
    <row r="452" spans="45:50">
      <c r="AS452" s="40" t="s">
        <v>591</v>
      </c>
      <c r="AT452" s="41" t="s">
        <v>597</v>
      </c>
      <c r="AU452" s="38"/>
      <c r="AV452" s="38"/>
      <c r="AW452" s="38"/>
      <c r="AX452" s="38"/>
    </row>
    <row r="453" spans="45:50">
      <c r="AS453" s="40" t="s">
        <v>591</v>
      </c>
      <c r="AT453" s="41" t="s">
        <v>598</v>
      </c>
      <c r="AU453" s="38"/>
      <c r="AV453" s="38"/>
      <c r="AW453" s="38"/>
      <c r="AX453" s="38"/>
    </row>
    <row r="454" spans="45:50">
      <c r="AS454" s="40" t="s">
        <v>591</v>
      </c>
      <c r="AT454" s="41" t="s">
        <v>599</v>
      </c>
      <c r="AU454" s="38"/>
      <c r="AV454" s="38"/>
      <c r="AW454" s="38"/>
      <c r="AX454" s="38"/>
    </row>
    <row r="455" spans="45:50">
      <c r="AS455" s="40" t="s">
        <v>600</v>
      </c>
      <c r="AT455" s="41" t="s">
        <v>601</v>
      </c>
      <c r="AU455" s="38"/>
      <c r="AV455" s="38"/>
      <c r="AW455" s="38"/>
      <c r="AX455" s="38"/>
    </row>
    <row r="456" spans="45:50">
      <c r="AS456" s="40" t="s">
        <v>600</v>
      </c>
      <c r="AT456" s="41" t="s">
        <v>602</v>
      </c>
      <c r="AU456" s="38"/>
      <c r="AV456" s="38"/>
      <c r="AW456" s="38"/>
      <c r="AX456" s="38"/>
    </row>
    <row r="457" spans="45:50">
      <c r="AS457" s="40" t="s">
        <v>600</v>
      </c>
      <c r="AT457" s="41" t="s">
        <v>603</v>
      </c>
      <c r="AU457" s="38"/>
      <c r="AV457" s="38"/>
      <c r="AW457" s="38"/>
      <c r="AX457" s="38"/>
    </row>
    <row r="458" spans="45:50">
      <c r="AS458" s="40" t="s">
        <v>600</v>
      </c>
      <c r="AT458" s="41" t="s">
        <v>604</v>
      </c>
      <c r="AU458" s="38"/>
      <c r="AV458" s="38"/>
      <c r="AW458" s="38"/>
      <c r="AX458" s="38"/>
    </row>
    <row r="459" spans="45:50">
      <c r="AS459" s="40" t="s">
        <v>600</v>
      </c>
      <c r="AT459" s="41" t="s">
        <v>605</v>
      </c>
      <c r="AU459" s="38"/>
      <c r="AV459" s="38"/>
      <c r="AW459" s="38"/>
      <c r="AX459" s="38"/>
    </row>
    <row r="460" spans="45:50">
      <c r="AS460" s="40" t="s">
        <v>600</v>
      </c>
      <c r="AT460" s="41" t="s">
        <v>606</v>
      </c>
      <c r="AU460" s="38"/>
      <c r="AV460" s="38"/>
      <c r="AW460" s="38"/>
      <c r="AX460" s="38"/>
    </row>
    <row r="461" spans="45:50">
      <c r="AS461" s="40" t="s">
        <v>600</v>
      </c>
      <c r="AT461" s="41" t="s">
        <v>607</v>
      </c>
      <c r="AU461" s="38"/>
      <c r="AV461" s="38"/>
      <c r="AW461" s="38"/>
      <c r="AX461" s="38"/>
    </row>
    <row r="462" spans="45:50">
      <c r="AS462" s="40" t="s">
        <v>600</v>
      </c>
      <c r="AT462" s="41" t="s">
        <v>608</v>
      </c>
      <c r="AU462" s="38"/>
      <c r="AV462" s="38"/>
      <c r="AW462" s="38"/>
      <c r="AX462" s="38"/>
    </row>
    <row r="463" spans="45:50">
      <c r="AS463" s="40" t="s">
        <v>600</v>
      </c>
      <c r="AT463" s="41" t="s">
        <v>609</v>
      </c>
      <c r="AU463" s="38"/>
      <c r="AV463" s="38"/>
      <c r="AW463" s="38"/>
      <c r="AX463" s="38"/>
    </row>
    <row r="464" spans="45:50">
      <c r="AS464" s="40" t="s">
        <v>600</v>
      </c>
      <c r="AT464" s="41" t="s">
        <v>610</v>
      </c>
      <c r="AU464" s="38"/>
      <c r="AV464" s="38"/>
      <c r="AW464" s="38"/>
      <c r="AX464" s="38"/>
    </row>
    <row r="465" spans="45:50">
      <c r="AS465" s="40" t="s">
        <v>600</v>
      </c>
      <c r="AT465" s="41" t="s">
        <v>611</v>
      </c>
      <c r="AU465" s="38"/>
      <c r="AV465" s="38"/>
      <c r="AW465" s="38"/>
      <c r="AX465" s="38"/>
    </row>
    <row r="466" spans="45:50">
      <c r="AS466" s="40" t="s">
        <v>612</v>
      </c>
      <c r="AT466" s="41" t="s">
        <v>613</v>
      </c>
      <c r="AU466" s="38"/>
      <c r="AV466" s="38"/>
      <c r="AW466" s="38"/>
      <c r="AX466" s="38"/>
    </row>
    <row r="467" spans="45:50">
      <c r="AS467" s="40" t="s">
        <v>612</v>
      </c>
      <c r="AT467" s="41" t="s">
        <v>614</v>
      </c>
      <c r="AU467" s="38"/>
      <c r="AV467" s="38"/>
      <c r="AW467" s="38"/>
      <c r="AX467" s="38"/>
    </row>
    <row r="468" spans="45:50">
      <c r="AS468" s="40" t="s">
        <v>612</v>
      </c>
      <c r="AT468" s="41" t="s">
        <v>615</v>
      </c>
      <c r="AU468" s="38"/>
      <c r="AV468" s="38"/>
      <c r="AW468" s="38"/>
      <c r="AX468" s="38"/>
    </row>
    <row r="469" spans="45:50">
      <c r="AS469" s="40" t="s">
        <v>612</v>
      </c>
      <c r="AT469" s="41" t="s">
        <v>616</v>
      </c>
      <c r="AU469" s="38"/>
      <c r="AV469" s="38"/>
      <c r="AW469" s="38"/>
      <c r="AX469" s="38"/>
    </row>
    <row r="470" spans="45:50">
      <c r="AS470" s="40" t="s">
        <v>612</v>
      </c>
      <c r="AT470" s="41" t="s">
        <v>617</v>
      </c>
      <c r="AU470" s="38"/>
      <c r="AV470" s="38"/>
      <c r="AW470" s="38"/>
      <c r="AX470" s="38"/>
    </row>
    <row r="471" spans="45:50">
      <c r="AS471" s="40" t="s">
        <v>612</v>
      </c>
      <c r="AT471" s="41" t="s">
        <v>618</v>
      </c>
      <c r="AU471" s="38"/>
      <c r="AV471" s="38"/>
      <c r="AW471" s="38"/>
      <c r="AX471" s="38"/>
    </row>
    <row r="472" spans="45:50">
      <c r="AS472" s="40" t="s">
        <v>612</v>
      </c>
      <c r="AT472" s="41" t="s">
        <v>619</v>
      </c>
      <c r="AU472" s="38"/>
      <c r="AV472" s="38"/>
      <c r="AW472" s="38"/>
      <c r="AX472" s="38"/>
    </row>
    <row r="473" spans="45:50">
      <c r="AS473" s="40" t="s">
        <v>612</v>
      </c>
      <c r="AT473" s="41" t="s">
        <v>620</v>
      </c>
      <c r="AU473" s="38"/>
      <c r="AV473" s="38"/>
      <c r="AW473" s="38"/>
      <c r="AX473" s="38"/>
    </row>
    <row r="474" spans="45:50">
      <c r="AS474" s="40" t="s">
        <v>612</v>
      </c>
      <c r="AT474" s="41" t="s">
        <v>621</v>
      </c>
      <c r="AU474" s="38"/>
      <c r="AV474" s="38"/>
      <c r="AW474" s="38"/>
      <c r="AX474" s="38"/>
    </row>
    <row r="475" spans="45:50">
      <c r="AS475" s="40" t="s">
        <v>612</v>
      </c>
      <c r="AT475" s="41" t="s">
        <v>622</v>
      </c>
      <c r="AU475" s="38"/>
      <c r="AV475" s="38"/>
      <c r="AW475" s="38"/>
      <c r="AX475" s="38"/>
    </row>
    <row r="476" spans="45:50">
      <c r="AS476" s="40" t="s">
        <v>612</v>
      </c>
      <c r="AT476" s="41" t="s">
        <v>623</v>
      </c>
      <c r="AU476" s="38"/>
      <c r="AV476" s="38"/>
      <c r="AW476" s="38"/>
      <c r="AX476" s="38"/>
    </row>
    <row r="477" spans="45:50">
      <c r="AS477" s="40" t="s">
        <v>612</v>
      </c>
      <c r="AT477" s="41" t="s">
        <v>624</v>
      </c>
      <c r="AU477" s="38"/>
      <c r="AV477" s="38"/>
      <c r="AW477" s="38"/>
      <c r="AX477" s="38"/>
    </row>
    <row r="478" spans="45:50">
      <c r="AS478" s="40" t="s">
        <v>612</v>
      </c>
      <c r="AT478" s="41" t="s">
        <v>625</v>
      </c>
      <c r="AU478" s="38"/>
      <c r="AV478" s="38"/>
      <c r="AW478" s="38"/>
      <c r="AX478" s="38"/>
    </row>
    <row r="479" spans="45:50">
      <c r="AS479" s="40" t="s">
        <v>612</v>
      </c>
      <c r="AT479" s="41" t="s">
        <v>626</v>
      </c>
      <c r="AU479" s="38"/>
      <c r="AV479" s="38"/>
      <c r="AW479" s="38"/>
      <c r="AX479" s="38"/>
    </row>
    <row r="480" spans="45:50">
      <c r="AS480" s="40" t="s">
        <v>612</v>
      </c>
      <c r="AT480" s="41" t="s">
        <v>627</v>
      </c>
      <c r="AU480" s="38"/>
      <c r="AV480" s="38"/>
      <c r="AW480" s="38"/>
      <c r="AX480" s="38"/>
    </row>
    <row r="481" spans="45:50">
      <c r="AS481" s="40" t="s">
        <v>612</v>
      </c>
      <c r="AT481" s="41" t="s">
        <v>628</v>
      </c>
      <c r="AU481" s="38"/>
      <c r="AV481" s="38"/>
      <c r="AW481" s="38"/>
      <c r="AX481" s="38"/>
    </row>
    <row r="482" spans="45:50">
      <c r="AS482" s="40" t="s">
        <v>612</v>
      </c>
      <c r="AT482" s="41" t="s">
        <v>629</v>
      </c>
      <c r="AU482" s="38"/>
      <c r="AV482" s="38"/>
      <c r="AW482" s="38"/>
      <c r="AX482" s="38"/>
    </row>
    <row r="483" spans="45:50">
      <c r="AS483" s="40" t="s">
        <v>612</v>
      </c>
      <c r="AT483" s="41" t="s">
        <v>630</v>
      </c>
      <c r="AU483" s="38"/>
      <c r="AV483" s="38"/>
      <c r="AW483" s="38"/>
      <c r="AX483" s="38"/>
    </row>
    <row r="484" spans="45:50">
      <c r="AS484" s="40" t="s">
        <v>612</v>
      </c>
      <c r="AT484" s="41" t="s">
        <v>631</v>
      </c>
      <c r="AU484" s="38"/>
      <c r="AV484" s="38"/>
      <c r="AW484" s="38"/>
      <c r="AX484" s="38"/>
    </row>
    <row r="485" spans="45:50">
      <c r="AS485" s="40" t="s">
        <v>612</v>
      </c>
      <c r="AT485" s="41" t="s">
        <v>632</v>
      </c>
      <c r="AU485" s="38"/>
      <c r="AV485" s="38"/>
      <c r="AW485" s="38"/>
      <c r="AX485" s="38"/>
    </row>
    <row r="486" spans="45:50">
      <c r="AS486" s="40" t="s">
        <v>612</v>
      </c>
      <c r="AT486" s="41" t="s">
        <v>633</v>
      </c>
      <c r="AU486" s="38"/>
      <c r="AV486" s="38"/>
      <c r="AW486" s="38"/>
      <c r="AX486" s="38"/>
    </row>
    <row r="487" spans="45:50">
      <c r="AS487" s="40" t="s">
        <v>612</v>
      </c>
      <c r="AT487" s="41" t="s">
        <v>634</v>
      </c>
      <c r="AU487" s="38"/>
      <c r="AV487" s="38"/>
      <c r="AW487" s="38"/>
      <c r="AX487" s="38"/>
    </row>
    <row r="488" spans="45:50">
      <c r="AS488" s="40" t="s">
        <v>612</v>
      </c>
      <c r="AT488" s="41" t="s">
        <v>635</v>
      </c>
      <c r="AU488" s="38"/>
      <c r="AV488" s="38"/>
      <c r="AW488" s="38"/>
      <c r="AX488" s="38"/>
    </row>
    <row r="489" spans="45:50">
      <c r="AS489" s="40" t="s">
        <v>612</v>
      </c>
      <c r="AT489" s="41" t="s">
        <v>636</v>
      </c>
      <c r="AU489" s="38"/>
      <c r="AV489" s="38"/>
      <c r="AW489" s="38"/>
      <c r="AX489" s="38"/>
    </row>
    <row r="490" spans="45:50">
      <c r="AS490" s="40" t="s">
        <v>612</v>
      </c>
      <c r="AT490" s="41" t="s">
        <v>637</v>
      </c>
      <c r="AU490" s="38"/>
      <c r="AV490" s="38"/>
      <c r="AW490" s="38"/>
      <c r="AX490" s="38"/>
    </row>
    <row r="491" spans="45:50">
      <c r="AS491" s="40" t="s">
        <v>612</v>
      </c>
      <c r="AT491" s="41" t="s">
        <v>638</v>
      </c>
      <c r="AU491" s="38"/>
      <c r="AV491" s="38"/>
      <c r="AW491" s="38"/>
      <c r="AX491" s="38"/>
    </row>
    <row r="492" spans="45:50">
      <c r="AS492" s="40" t="s">
        <v>612</v>
      </c>
      <c r="AT492" s="41" t="s">
        <v>639</v>
      </c>
      <c r="AU492" s="38"/>
      <c r="AV492" s="38"/>
      <c r="AW492" s="38"/>
      <c r="AX492" s="38"/>
    </row>
    <row r="493" spans="45:50">
      <c r="AS493" s="40" t="s">
        <v>612</v>
      </c>
      <c r="AT493" s="41" t="s">
        <v>640</v>
      </c>
      <c r="AU493" s="38"/>
      <c r="AV493" s="38"/>
      <c r="AW493" s="38"/>
      <c r="AX493" s="38"/>
    </row>
    <row r="494" spans="45:50">
      <c r="AS494" s="40" t="s">
        <v>612</v>
      </c>
      <c r="AT494" s="41" t="s">
        <v>641</v>
      </c>
      <c r="AU494" s="38"/>
      <c r="AV494" s="38"/>
      <c r="AW494" s="38"/>
      <c r="AX494" s="38"/>
    </row>
    <row r="495" spans="45:50">
      <c r="AS495" s="40" t="s">
        <v>612</v>
      </c>
      <c r="AT495" s="41" t="s">
        <v>642</v>
      </c>
      <c r="AU495" s="38"/>
      <c r="AV495" s="38"/>
      <c r="AW495" s="38"/>
      <c r="AX495" s="38"/>
    </row>
    <row r="496" spans="45:50">
      <c r="AS496" s="58" t="s">
        <v>643</v>
      </c>
      <c r="AT496" s="41" t="s">
        <v>644</v>
      </c>
      <c r="AU496" s="38"/>
      <c r="AV496" s="38"/>
      <c r="AW496" s="38"/>
      <c r="AX496" s="38"/>
    </row>
    <row r="497" spans="45:50">
      <c r="AS497" s="58" t="s">
        <v>643</v>
      </c>
      <c r="AT497" s="41" t="s">
        <v>645</v>
      </c>
      <c r="AU497" s="38"/>
      <c r="AV497" s="38"/>
      <c r="AW497" s="38"/>
      <c r="AX497" s="38"/>
    </row>
    <row r="498" spans="45:50">
      <c r="AS498" s="58" t="s">
        <v>643</v>
      </c>
      <c r="AT498" s="41" t="s">
        <v>646</v>
      </c>
      <c r="AU498" s="38"/>
      <c r="AV498" s="38"/>
      <c r="AW498" s="38"/>
      <c r="AX498" s="38"/>
    </row>
    <row r="499" spans="45:50">
      <c r="AS499" s="58" t="s">
        <v>643</v>
      </c>
      <c r="AT499" s="41" t="s">
        <v>647</v>
      </c>
      <c r="AU499" s="38"/>
      <c r="AV499" s="38"/>
      <c r="AW499" s="38"/>
      <c r="AX499" s="38"/>
    </row>
    <row r="500" spans="45:50">
      <c r="AS500" s="40" t="s">
        <v>648</v>
      </c>
      <c r="AT500" s="41" t="s">
        <v>649</v>
      </c>
      <c r="AU500" s="38"/>
      <c r="AV500" s="38"/>
      <c r="AW500" s="38"/>
      <c r="AX500" s="38"/>
    </row>
    <row r="501" spans="45:50">
      <c r="AS501" s="40" t="s">
        <v>648</v>
      </c>
      <c r="AT501" s="41" t="s">
        <v>650</v>
      </c>
      <c r="AU501" s="38"/>
      <c r="AV501" s="38"/>
      <c r="AW501" s="38"/>
      <c r="AX501" s="38"/>
    </row>
    <row r="502" spans="45:50">
      <c r="AS502" s="40" t="s">
        <v>648</v>
      </c>
      <c r="AT502" s="41" t="s">
        <v>651</v>
      </c>
      <c r="AU502" s="38"/>
      <c r="AV502" s="38"/>
      <c r="AW502" s="38"/>
      <c r="AX502" s="38"/>
    </row>
    <row r="503" spans="45:50">
      <c r="AS503" s="40" t="s">
        <v>648</v>
      </c>
      <c r="AT503" s="41" t="s">
        <v>652</v>
      </c>
      <c r="AU503" s="38"/>
      <c r="AV503" s="38"/>
      <c r="AW503" s="38"/>
      <c r="AX503" s="38"/>
    </row>
    <row r="504" spans="45:50">
      <c r="AS504" s="40" t="s">
        <v>648</v>
      </c>
      <c r="AT504" s="41" t="s">
        <v>653</v>
      </c>
      <c r="AU504" s="38"/>
      <c r="AV504" s="38"/>
      <c r="AW504" s="38"/>
      <c r="AX504" s="38"/>
    </row>
    <row r="505" spans="45:50">
      <c r="AS505" s="40" t="s">
        <v>648</v>
      </c>
      <c r="AT505" s="41" t="s">
        <v>654</v>
      </c>
      <c r="AU505" s="38"/>
      <c r="AV505" s="38"/>
      <c r="AW505" s="38"/>
      <c r="AX505" s="38"/>
    </row>
    <row r="506" spans="45:50">
      <c r="AS506" s="40" t="s">
        <v>648</v>
      </c>
      <c r="AT506" s="41" t="s">
        <v>655</v>
      </c>
      <c r="AU506" s="38"/>
      <c r="AV506" s="38"/>
      <c r="AW506" s="38"/>
      <c r="AX506" s="38"/>
    </row>
    <row r="507" spans="45:50">
      <c r="AS507" s="40" t="s">
        <v>648</v>
      </c>
      <c r="AT507" s="41" t="s">
        <v>656</v>
      </c>
      <c r="AU507" s="38"/>
      <c r="AV507" s="38"/>
      <c r="AW507" s="38"/>
      <c r="AX507" s="38"/>
    </row>
    <row r="508" spans="45:50">
      <c r="AS508" s="40" t="s">
        <v>648</v>
      </c>
      <c r="AT508" s="41" t="s">
        <v>657</v>
      </c>
      <c r="AU508" s="38"/>
      <c r="AV508" s="38"/>
      <c r="AW508" s="38"/>
      <c r="AX508" s="38"/>
    </row>
    <row r="509" spans="45:50">
      <c r="AS509" s="40" t="s">
        <v>648</v>
      </c>
      <c r="AT509" s="41" t="s">
        <v>658</v>
      </c>
      <c r="AU509" s="38"/>
      <c r="AV509" s="38"/>
      <c r="AW509" s="38"/>
      <c r="AX509" s="38"/>
    </row>
    <row r="510" spans="45:50">
      <c r="AS510" s="40" t="s">
        <v>648</v>
      </c>
      <c r="AT510" s="41" t="s">
        <v>659</v>
      </c>
      <c r="AU510" s="38"/>
      <c r="AV510" s="38"/>
      <c r="AW510" s="38"/>
      <c r="AX510" s="38"/>
    </row>
    <row r="511" spans="45:50">
      <c r="AS511" s="40" t="s">
        <v>648</v>
      </c>
      <c r="AT511" s="41" t="s">
        <v>660</v>
      </c>
      <c r="AU511" s="38"/>
      <c r="AV511" s="38"/>
      <c r="AW511" s="38"/>
      <c r="AX511" s="38"/>
    </row>
    <row r="512" spans="45:50">
      <c r="AS512" s="40" t="s">
        <v>648</v>
      </c>
      <c r="AT512" s="41" t="s">
        <v>661</v>
      </c>
      <c r="AU512" s="38"/>
      <c r="AV512" s="38"/>
      <c r="AW512" s="38"/>
      <c r="AX512" s="38"/>
    </row>
    <row r="513" spans="45:50">
      <c r="AS513" s="40" t="s">
        <v>648</v>
      </c>
      <c r="AT513" s="41" t="s">
        <v>662</v>
      </c>
      <c r="AU513" s="38"/>
      <c r="AV513" s="38"/>
      <c r="AW513" s="38"/>
      <c r="AX513" s="38"/>
    </row>
    <row r="514" spans="45:50">
      <c r="AS514" s="40" t="s">
        <v>648</v>
      </c>
      <c r="AT514" s="41" t="s">
        <v>663</v>
      </c>
      <c r="AU514" s="38"/>
      <c r="AV514" s="38"/>
      <c r="AW514" s="38"/>
      <c r="AX514" s="38"/>
    </row>
    <row r="515" spans="45:50">
      <c r="AS515" s="40" t="s">
        <v>648</v>
      </c>
      <c r="AT515" s="41" t="s">
        <v>664</v>
      </c>
      <c r="AU515" s="38"/>
      <c r="AV515" s="38"/>
      <c r="AW515" s="38"/>
      <c r="AX515" s="38"/>
    </row>
    <row r="516" spans="45:50">
      <c r="AS516" s="40" t="s">
        <v>648</v>
      </c>
      <c r="AT516" s="41" t="s">
        <v>665</v>
      </c>
      <c r="AU516" s="38"/>
      <c r="AV516" s="38"/>
      <c r="AW516" s="38"/>
      <c r="AX516" s="38"/>
    </row>
    <row r="517" spans="45:50">
      <c r="AS517" s="40" t="s">
        <v>648</v>
      </c>
      <c r="AT517" s="41" t="s">
        <v>666</v>
      </c>
      <c r="AU517" s="38"/>
      <c r="AV517" s="38"/>
      <c r="AW517" s="38"/>
      <c r="AX517" s="38"/>
    </row>
    <row r="518" spans="45:50">
      <c r="AS518" s="40" t="s">
        <v>648</v>
      </c>
      <c r="AT518" s="41" t="s">
        <v>667</v>
      </c>
      <c r="AU518" s="38"/>
      <c r="AV518" s="38"/>
      <c r="AW518" s="38"/>
      <c r="AX518" s="38"/>
    </row>
    <row r="519" spans="45:50">
      <c r="AS519" s="40" t="s">
        <v>648</v>
      </c>
      <c r="AT519" s="41" t="s">
        <v>668</v>
      </c>
      <c r="AU519" s="38"/>
      <c r="AV519" s="38"/>
      <c r="AW519" s="38"/>
      <c r="AX519" s="38"/>
    </row>
    <row r="520" spans="45:50">
      <c r="AS520" s="40" t="s">
        <v>648</v>
      </c>
      <c r="AT520" s="41" t="s">
        <v>669</v>
      </c>
      <c r="AU520" s="38"/>
      <c r="AV520" s="38"/>
      <c r="AW520" s="38"/>
      <c r="AX520" s="38"/>
    </row>
    <row r="521" spans="45:50">
      <c r="AS521" s="40" t="s">
        <v>648</v>
      </c>
      <c r="AT521" s="41" t="s">
        <v>670</v>
      </c>
      <c r="AU521" s="38"/>
      <c r="AV521" s="38"/>
      <c r="AW521" s="38"/>
      <c r="AX521" s="38"/>
    </row>
    <row r="522" spans="45:50">
      <c r="AS522" s="40" t="s">
        <v>671</v>
      </c>
      <c r="AT522" s="41" t="s">
        <v>672</v>
      </c>
      <c r="AU522" s="38"/>
      <c r="AV522" s="38"/>
      <c r="AW522" s="38"/>
      <c r="AX522" s="38"/>
    </row>
    <row r="523" spans="45:50">
      <c r="AS523" s="40" t="s">
        <v>671</v>
      </c>
      <c r="AT523" s="41" t="s">
        <v>673</v>
      </c>
      <c r="AU523" s="38"/>
      <c r="AV523" s="38"/>
      <c r="AW523" s="38"/>
      <c r="AX523" s="38"/>
    </row>
    <row r="524" spans="45:50">
      <c r="AS524" s="40" t="s">
        <v>671</v>
      </c>
      <c r="AT524" s="41" t="s">
        <v>674</v>
      </c>
      <c r="AU524" s="38"/>
      <c r="AV524" s="38"/>
      <c r="AW524" s="38"/>
      <c r="AX524" s="38"/>
    </row>
    <row r="525" spans="45:50">
      <c r="AS525" s="40" t="s">
        <v>671</v>
      </c>
      <c r="AT525" s="41" t="s">
        <v>675</v>
      </c>
      <c r="AU525" s="38"/>
      <c r="AV525" s="38"/>
      <c r="AW525" s="38"/>
      <c r="AX525" s="38"/>
    </row>
    <row r="526" spans="45:50">
      <c r="AS526" s="40" t="s">
        <v>671</v>
      </c>
      <c r="AT526" s="41" t="s">
        <v>676</v>
      </c>
      <c r="AU526" s="38"/>
      <c r="AV526" s="38"/>
      <c r="AW526" s="38"/>
      <c r="AX526" s="38"/>
    </row>
    <row r="527" spans="45:50">
      <c r="AS527" s="40" t="s">
        <v>671</v>
      </c>
      <c r="AT527" s="41" t="s">
        <v>677</v>
      </c>
      <c r="AU527" s="38"/>
      <c r="AV527" s="38"/>
      <c r="AW527" s="38"/>
      <c r="AX527" s="38"/>
    </row>
    <row r="528" spans="45:50">
      <c r="AS528" s="40" t="s">
        <v>671</v>
      </c>
      <c r="AT528" s="41" t="s">
        <v>678</v>
      </c>
      <c r="AU528" s="38"/>
      <c r="AV528" s="38"/>
      <c r="AW528" s="38"/>
      <c r="AX528" s="38"/>
    </row>
    <row r="529" spans="45:50">
      <c r="AS529" s="40" t="s">
        <v>671</v>
      </c>
      <c r="AT529" s="41" t="s">
        <v>679</v>
      </c>
      <c r="AU529" s="38"/>
      <c r="AV529" s="38"/>
      <c r="AW529" s="38"/>
      <c r="AX529" s="38"/>
    </row>
    <row r="530" spans="45:50">
      <c r="AS530" s="40" t="s">
        <v>671</v>
      </c>
      <c r="AT530" s="41" t="s">
        <v>680</v>
      </c>
      <c r="AU530" s="38"/>
      <c r="AV530" s="38"/>
      <c r="AW530" s="38"/>
      <c r="AX530" s="38"/>
    </row>
    <row r="531" spans="45:50">
      <c r="AS531" s="40" t="s">
        <v>671</v>
      </c>
      <c r="AT531" s="41" t="s">
        <v>681</v>
      </c>
      <c r="AU531" s="38"/>
      <c r="AV531" s="38"/>
      <c r="AW531" s="38"/>
      <c r="AX531" s="38"/>
    </row>
    <row r="532" spans="45:50">
      <c r="AS532" s="40" t="s">
        <v>671</v>
      </c>
      <c r="AT532" s="41" t="s">
        <v>682</v>
      </c>
      <c r="AU532" s="38"/>
      <c r="AV532" s="38"/>
      <c r="AW532" s="38"/>
      <c r="AX532" s="38"/>
    </row>
    <row r="533" spans="45:50">
      <c r="AS533" s="40" t="s">
        <v>671</v>
      </c>
      <c r="AT533" s="41" t="s">
        <v>683</v>
      </c>
      <c r="AU533" s="38"/>
      <c r="AV533" s="38"/>
      <c r="AW533" s="38"/>
      <c r="AX533" s="38"/>
    </row>
    <row r="534" spans="45:50">
      <c r="AS534" s="40" t="s">
        <v>671</v>
      </c>
      <c r="AT534" s="41" t="s">
        <v>684</v>
      </c>
      <c r="AU534" s="38"/>
      <c r="AV534" s="38"/>
      <c r="AW534" s="38"/>
      <c r="AX534" s="38"/>
    </row>
    <row r="535" spans="45:50">
      <c r="AS535" s="40" t="s">
        <v>671</v>
      </c>
      <c r="AT535" s="41" t="s">
        <v>685</v>
      </c>
      <c r="AU535" s="38"/>
      <c r="AV535" s="38"/>
      <c r="AW535" s="38"/>
      <c r="AX535" s="38"/>
    </row>
    <row r="536" spans="45:50">
      <c r="AS536" s="40" t="s">
        <v>671</v>
      </c>
      <c r="AT536" s="41" t="s">
        <v>686</v>
      </c>
      <c r="AU536" s="38"/>
      <c r="AV536" s="38"/>
      <c r="AW536" s="38"/>
      <c r="AX536" s="38"/>
    </row>
    <row r="537" spans="45:50">
      <c r="AS537" s="40" t="s">
        <v>671</v>
      </c>
      <c r="AT537" s="41" t="s">
        <v>687</v>
      </c>
      <c r="AU537" s="38"/>
      <c r="AV537" s="38"/>
      <c r="AW537" s="38"/>
      <c r="AX537" s="38"/>
    </row>
    <row r="538" spans="45:50">
      <c r="AS538" s="40" t="s">
        <v>671</v>
      </c>
      <c r="AT538" s="41" t="s">
        <v>688</v>
      </c>
      <c r="AU538" s="38"/>
      <c r="AV538" s="38"/>
      <c r="AW538" s="38"/>
      <c r="AX538" s="38"/>
    </row>
    <row r="539" spans="45:50">
      <c r="AS539" s="40" t="s">
        <v>671</v>
      </c>
      <c r="AT539" s="41" t="s">
        <v>689</v>
      </c>
      <c r="AU539" s="38"/>
      <c r="AV539" s="38"/>
      <c r="AW539" s="38"/>
      <c r="AX539" s="38"/>
    </row>
    <row r="540" spans="45:50">
      <c r="AS540" s="40" t="s">
        <v>671</v>
      </c>
      <c r="AT540" s="41" t="s">
        <v>690</v>
      </c>
      <c r="AU540" s="38"/>
      <c r="AV540" s="38"/>
      <c r="AW540" s="38"/>
      <c r="AX540" s="38"/>
    </row>
    <row r="541" spans="45:50">
      <c r="AS541" s="40" t="s">
        <v>671</v>
      </c>
      <c r="AT541" s="41" t="s">
        <v>691</v>
      </c>
      <c r="AU541" s="38"/>
      <c r="AV541" s="38"/>
      <c r="AW541" s="38"/>
      <c r="AX541" s="38"/>
    </row>
    <row r="542" spans="45:50">
      <c r="AS542" s="40" t="s">
        <v>671</v>
      </c>
      <c r="AT542" s="41" t="s">
        <v>692</v>
      </c>
      <c r="AU542" s="38"/>
      <c r="AV542" s="38"/>
      <c r="AW542" s="38"/>
      <c r="AX542" s="38"/>
    </row>
    <row r="543" spans="45:50">
      <c r="AS543" s="40" t="s">
        <v>671</v>
      </c>
      <c r="AT543" s="41" t="s">
        <v>693</v>
      </c>
      <c r="AU543" s="38"/>
      <c r="AV543" s="38"/>
      <c r="AW543" s="38"/>
      <c r="AX543" s="38"/>
    </row>
    <row r="544" spans="45:50">
      <c r="AS544" s="40" t="s">
        <v>671</v>
      </c>
      <c r="AT544" s="41" t="s">
        <v>694</v>
      </c>
      <c r="AU544" s="38"/>
      <c r="AV544" s="38"/>
      <c r="AW544" s="38"/>
      <c r="AX544" s="38"/>
    </row>
    <row r="545" spans="45:50">
      <c r="AS545" s="40" t="s">
        <v>671</v>
      </c>
      <c r="AT545" s="41" t="s">
        <v>695</v>
      </c>
      <c r="AU545" s="38"/>
      <c r="AV545" s="38"/>
      <c r="AW545" s="38"/>
      <c r="AX545" s="38"/>
    </row>
    <row r="546" spans="45:50">
      <c r="AS546" s="40" t="s">
        <v>671</v>
      </c>
      <c r="AT546" s="41" t="s">
        <v>696</v>
      </c>
      <c r="AU546" s="38"/>
      <c r="AV546" s="38"/>
      <c r="AW546" s="38"/>
      <c r="AX546" s="38"/>
    </row>
    <row r="547" spans="45:50">
      <c r="AS547" s="40" t="s">
        <v>671</v>
      </c>
      <c r="AT547" s="41" t="s">
        <v>697</v>
      </c>
      <c r="AU547" s="38"/>
      <c r="AV547" s="38"/>
      <c r="AW547" s="38"/>
      <c r="AX547" s="38"/>
    </row>
    <row r="548" spans="45:50">
      <c r="AS548" s="40" t="s">
        <v>671</v>
      </c>
      <c r="AT548" s="41" t="s">
        <v>698</v>
      </c>
      <c r="AU548" s="38"/>
      <c r="AV548" s="38"/>
      <c r="AW548" s="38"/>
      <c r="AX548" s="38"/>
    </row>
    <row r="549" spans="45:50">
      <c r="AS549" s="40" t="s">
        <v>671</v>
      </c>
      <c r="AT549" s="41" t="s">
        <v>699</v>
      </c>
      <c r="AU549" s="38"/>
      <c r="AV549" s="38"/>
      <c r="AW549" s="38"/>
      <c r="AX549" s="38"/>
    </row>
    <row r="550" spans="45:50">
      <c r="AS550" s="40" t="s">
        <v>671</v>
      </c>
      <c r="AT550" s="41" t="s">
        <v>700</v>
      </c>
      <c r="AU550" s="38"/>
      <c r="AV550" s="38"/>
      <c r="AW550" s="38"/>
      <c r="AX550" s="38"/>
    </row>
    <row r="551" spans="45:50">
      <c r="AS551" s="40" t="s">
        <v>671</v>
      </c>
      <c r="AT551" s="41" t="s">
        <v>701</v>
      </c>
      <c r="AU551" s="38"/>
      <c r="AV551" s="38"/>
      <c r="AW551" s="38"/>
      <c r="AX551" s="38"/>
    </row>
    <row r="552" spans="45:50">
      <c r="AS552" s="40" t="s">
        <v>671</v>
      </c>
      <c r="AT552" s="41" t="s">
        <v>702</v>
      </c>
      <c r="AU552" s="38"/>
      <c r="AV552" s="38"/>
      <c r="AW552" s="38"/>
      <c r="AX552" s="38"/>
    </row>
    <row r="553" spans="45:50">
      <c r="AS553" s="40" t="s">
        <v>671</v>
      </c>
      <c r="AT553" s="41" t="s">
        <v>703</v>
      </c>
      <c r="AU553" s="38"/>
      <c r="AV553" s="38"/>
      <c r="AW553" s="38"/>
      <c r="AX553" s="38"/>
    </row>
    <row r="554" spans="45:50">
      <c r="AS554" s="40" t="s">
        <v>671</v>
      </c>
      <c r="AT554" s="41" t="s">
        <v>704</v>
      </c>
      <c r="AU554" s="38"/>
      <c r="AV554" s="38"/>
      <c r="AW554" s="38"/>
      <c r="AX554" s="38"/>
    </row>
    <row r="555" spans="45:50">
      <c r="AS555" s="40" t="s">
        <v>705</v>
      </c>
      <c r="AT555" s="41" t="s">
        <v>298</v>
      </c>
      <c r="AU555" s="38"/>
      <c r="AV555" s="38"/>
      <c r="AW555" s="38"/>
      <c r="AX555" s="38"/>
    </row>
    <row r="556" spans="45:50">
      <c r="AS556" s="40" t="s">
        <v>705</v>
      </c>
      <c r="AT556" s="41" t="s">
        <v>300</v>
      </c>
      <c r="AU556" s="38"/>
      <c r="AV556" s="38"/>
      <c r="AW556" s="38"/>
      <c r="AX556" s="38"/>
    </row>
    <row r="557" spans="45:50">
      <c r="AS557" s="40" t="s">
        <v>705</v>
      </c>
      <c r="AT557" s="41" t="s">
        <v>304</v>
      </c>
      <c r="AU557" s="38"/>
      <c r="AV557" s="38"/>
      <c r="AW557" s="38"/>
      <c r="AX557" s="38"/>
    </row>
    <row r="558" spans="45:50">
      <c r="AS558" s="40" t="s">
        <v>705</v>
      </c>
      <c r="AT558" s="41" t="s">
        <v>307</v>
      </c>
      <c r="AU558" s="38"/>
      <c r="AV558" s="38"/>
      <c r="AW558" s="38"/>
      <c r="AX558" s="38"/>
    </row>
    <row r="559" spans="45:50">
      <c r="AS559" s="40" t="s">
        <v>706</v>
      </c>
      <c r="AT559" s="41" t="s">
        <v>707</v>
      </c>
      <c r="AU559" s="38"/>
      <c r="AV559" s="38"/>
      <c r="AW559" s="38"/>
      <c r="AX559" s="38"/>
    </row>
    <row r="560" spans="45:50">
      <c r="AS560" s="40" t="s">
        <v>706</v>
      </c>
      <c r="AT560" s="41" t="s">
        <v>708</v>
      </c>
      <c r="AU560" s="38"/>
      <c r="AV560" s="38"/>
      <c r="AW560" s="38"/>
      <c r="AX560" s="38"/>
    </row>
    <row r="561" spans="45:50">
      <c r="AS561" s="40" t="s">
        <v>706</v>
      </c>
      <c r="AT561" s="41" t="s">
        <v>709</v>
      </c>
      <c r="AU561" s="38"/>
      <c r="AV561" s="38"/>
      <c r="AW561" s="38"/>
      <c r="AX561" s="38"/>
    </row>
    <row r="562" spans="45:50">
      <c r="AS562" s="40" t="s">
        <v>706</v>
      </c>
      <c r="AT562" s="41" t="s">
        <v>710</v>
      </c>
      <c r="AU562" s="38"/>
      <c r="AV562" s="38"/>
      <c r="AW562" s="38"/>
      <c r="AX562" s="38"/>
    </row>
    <row r="563" spans="45:50">
      <c r="AS563" s="40" t="s">
        <v>706</v>
      </c>
      <c r="AT563" s="41" t="s">
        <v>711</v>
      </c>
      <c r="AU563" s="38"/>
      <c r="AV563" s="38"/>
      <c r="AW563" s="38"/>
      <c r="AX563" s="38"/>
    </row>
    <row r="564" spans="45:50">
      <c r="AS564" s="40" t="s">
        <v>706</v>
      </c>
      <c r="AT564" s="41" t="s">
        <v>712</v>
      </c>
      <c r="AU564" s="38"/>
      <c r="AV564" s="38"/>
      <c r="AW564" s="38"/>
      <c r="AX564" s="38"/>
    </row>
    <row r="565" spans="45:50">
      <c r="AS565" s="40" t="s">
        <v>706</v>
      </c>
      <c r="AT565" s="41" t="s">
        <v>713</v>
      </c>
      <c r="AU565" s="38"/>
      <c r="AV565" s="38"/>
      <c r="AW565" s="38"/>
      <c r="AX565" s="38"/>
    </row>
    <row r="566" spans="45:50">
      <c r="AS566" s="40" t="s">
        <v>706</v>
      </c>
      <c r="AT566" s="41" t="s">
        <v>714</v>
      </c>
      <c r="AU566" s="38"/>
      <c r="AV566" s="38"/>
      <c r="AW566" s="38"/>
      <c r="AX566" s="38"/>
    </row>
    <row r="567" spans="45:50">
      <c r="AS567" s="40" t="s">
        <v>706</v>
      </c>
      <c r="AT567" s="41" t="s">
        <v>715</v>
      </c>
      <c r="AU567" s="38"/>
      <c r="AV567" s="38"/>
      <c r="AW567" s="38"/>
      <c r="AX567" s="38"/>
    </row>
    <row r="568" spans="45:50">
      <c r="AS568" s="40" t="s">
        <v>706</v>
      </c>
      <c r="AT568" s="41" t="s">
        <v>716</v>
      </c>
      <c r="AU568" s="38"/>
      <c r="AV568" s="38"/>
      <c r="AW568" s="38"/>
      <c r="AX568" s="38"/>
    </row>
    <row r="569" spans="45:50">
      <c r="AS569" s="40" t="s">
        <v>706</v>
      </c>
      <c r="AT569" s="41" t="s">
        <v>717</v>
      </c>
      <c r="AU569" s="38"/>
      <c r="AV569" s="38"/>
      <c r="AW569" s="38"/>
      <c r="AX569" s="38"/>
    </row>
    <row r="570" spans="45:50">
      <c r="AS570" s="40" t="s">
        <v>706</v>
      </c>
      <c r="AT570" s="41" t="s">
        <v>718</v>
      </c>
      <c r="AU570" s="38"/>
      <c r="AV570" s="38"/>
      <c r="AW570" s="38"/>
      <c r="AX570" s="38"/>
    </row>
    <row r="571" spans="45:50">
      <c r="AS571" s="40" t="s">
        <v>706</v>
      </c>
      <c r="AT571" s="41" t="s">
        <v>719</v>
      </c>
      <c r="AU571" s="38"/>
      <c r="AV571" s="38"/>
      <c r="AW571" s="38"/>
      <c r="AX571" s="38"/>
    </row>
    <row r="572" spans="45:50">
      <c r="AS572" s="40" t="s">
        <v>706</v>
      </c>
      <c r="AT572" s="41" t="s">
        <v>720</v>
      </c>
      <c r="AU572" s="38"/>
      <c r="AV572" s="38"/>
      <c r="AW572" s="38"/>
      <c r="AX572" s="38"/>
    </row>
    <row r="573" spans="45:50">
      <c r="AS573" s="40" t="s">
        <v>706</v>
      </c>
      <c r="AT573" s="41" t="s">
        <v>721</v>
      </c>
      <c r="AU573" s="38"/>
      <c r="AV573" s="38"/>
      <c r="AW573" s="38"/>
      <c r="AX573" s="38"/>
    </row>
    <row r="574" spans="45:50">
      <c r="AS574" s="40" t="s">
        <v>706</v>
      </c>
      <c r="AT574" s="41" t="s">
        <v>722</v>
      </c>
      <c r="AU574" s="38"/>
      <c r="AV574" s="38"/>
      <c r="AW574" s="38"/>
      <c r="AX574" s="38"/>
    </row>
    <row r="575" spans="45:50">
      <c r="AS575" s="40" t="s">
        <v>706</v>
      </c>
      <c r="AT575" s="41" t="s">
        <v>723</v>
      </c>
      <c r="AU575" s="38"/>
      <c r="AV575" s="38"/>
      <c r="AW575" s="38"/>
      <c r="AX575" s="38"/>
    </row>
    <row r="576" spans="45:50">
      <c r="AS576" s="40" t="s">
        <v>706</v>
      </c>
      <c r="AT576" s="41" t="s">
        <v>724</v>
      </c>
      <c r="AU576" s="38"/>
      <c r="AV576" s="38"/>
      <c r="AW576" s="38"/>
      <c r="AX576" s="38"/>
    </row>
    <row r="577" spans="45:50">
      <c r="AS577" s="40" t="s">
        <v>706</v>
      </c>
      <c r="AT577" s="41" t="s">
        <v>725</v>
      </c>
      <c r="AU577" s="38"/>
      <c r="AV577" s="38"/>
      <c r="AW577" s="38"/>
      <c r="AX577" s="38"/>
    </row>
    <row r="578" spans="45:50">
      <c r="AS578" s="40" t="s">
        <v>706</v>
      </c>
      <c r="AT578" s="41" t="s">
        <v>726</v>
      </c>
      <c r="AU578" s="38"/>
      <c r="AV578" s="38"/>
      <c r="AW578" s="38"/>
      <c r="AX578" s="38"/>
    </row>
    <row r="579" spans="45:50">
      <c r="AS579" s="40" t="s">
        <v>706</v>
      </c>
      <c r="AT579" s="41" t="s">
        <v>727</v>
      </c>
      <c r="AU579" s="38"/>
      <c r="AV579" s="38"/>
      <c r="AW579" s="38"/>
      <c r="AX579" s="38"/>
    </row>
    <row r="580" spans="45:50">
      <c r="AS580" s="40" t="s">
        <v>706</v>
      </c>
      <c r="AT580" s="41" t="s">
        <v>728</v>
      </c>
      <c r="AU580" s="38"/>
      <c r="AV580" s="38"/>
      <c r="AW580" s="38"/>
      <c r="AX580" s="38"/>
    </row>
    <row r="581" spans="45:50">
      <c r="AS581" s="40" t="s">
        <v>706</v>
      </c>
      <c r="AT581" s="41" t="s">
        <v>729</v>
      </c>
      <c r="AU581" s="38"/>
      <c r="AV581" s="38"/>
      <c r="AW581" s="38"/>
      <c r="AX581" s="38"/>
    </row>
    <row r="582" spans="45:50">
      <c r="AS582" s="40" t="s">
        <v>706</v>
      </c>
      <c r="AT582" s="41" t="s">
        <v>730</v>
      </c>
      <c r="AU582" s="38"/>
      <c r="AV582" s="38"/>
      <c r="AW582" s="38"/>
      <c r="AX582" s="38"/>
    </row>
    <row r="583" spans="45:50">
      <c r="AS583" s="40" t="s">
        <v>706</v>
      </c>
      <c r="AT583" s="41" t="s">
        <v>731</v>
      </c>
      <c r="AU583" s="38"/>
      <c r="AV583" s="38"/>
      <c r="AW583" s="38"/>
      <c r="AX583" s="38"/>
    </row>
    <row r="584" spans="45:50">
      <c r="AS584" s="40" t="s">
        <v>706</v>
      </c>
      <c r="AT584" s="41" t="s">
        <v>732</v>
      </c>
      <c r="AU584" s="38"/>
      <c r="AV584" s="38"/>
      <c r="AW584" s="38"/>
      <c r="AX584" s="38"/>
    </row>
    <row r="585" spans="45:50">
      <c r="AS585" s="40" t="s">
        <v>706</v>
      </c>
      <c r="AT585" s="41" t="s">
        <v>733</v>
      </c>
      <c r="AU585" s="38"/>
      <c r="AV585" s="38"/>
      <c r="AW585" s="38"/>
      <c r="AX585" s="38"/>
    </row>
    <row r="586" spans="45:50">
      <c r="AS586" s="40" t="s">
        <v>706</v>
      </c>
      <c r="AT586" s="41" t="s">
        <v>734</v>
      </c>
      <c r="AU586" s="38"/>
      <c r="AV586" s="38"/>
      <c r="AW586" s="38"/>
      <c r="AX586" s="38"/>
    </row>
    <row r="587" spans="45:50">
      <c r="AS587" s="40" t="s">
        <v>706</v>
      </c>
      <c r="AT587" s="41" t="s">
        <v>735</v>
      </c>
      <c r="AU587" s="38"/>
      <c r="AV587" s="38"/>
      <c r="AW587" s="38"/>
      <c r="AX587" s="38"/>
    </row>
    <row r="588" spans="45:50">
      <c r="AS588" s="40" t="s">
        <v>706</v>
      </c>
      <c r="AT588" s="41" t="s">
        <v>736</v>
      </c>
      <c r="AU588" s="38"/>
      <c r="AV588" s="38"/>
      <c r="AW588" s="38"/>
      <c r="AX588" s="38"/>
    </row>
    <row r="589" spans="45:50">
      <c r="AS589" s="40" t="s">
        <v>706</v>
      </c>
      <c r="AT589" s="41" t="s">
        <v>737</v>
      </c>
      <c r="AU589" s="38"/>
      <c r="AV589" s="38"/>
      <c r="AW589" s="38"/>
      <c r="AX589" s="38"/>
    </row>
    <row r="590" spans="45:50">
      <c r="AS590" s="40" t="s">
        <v>706</v>
      </c>
      <c r="AT590" s="41" t="s">
        <v>738</v>
      </c>
      <c r="AU590" s="38"/>
      <c r="AV590" s="38"/>
      <c r="AW590" s="38"/>
      <c r="AX590" s="38"/>
    </row>
    <row r="591" spans="45:50">
      <c r="AS591" s="40" t="s">
        <v>739</v>
      </c>
      <c r="AT591" s="41" t="s">
        <v>740</v>
      </c>
      <c r="AU591" s="38"/>
      <c r="AV591" s="38"/>
      <c r="AW591" s="38"/>
      <c r="AX591" s="38"/>
    </row>
    <row r="592" spans="45:50">
      <c r="AS592" s="40" t="s">
        <v>739</v>
      </c>
      <c r="AT592" s="41" t="s">
        <v>741</v>
      </c>
      <c r="AU592" s="38"/>
      <c r="AV592" s="38"/>
      <c r="AW592" s="38"/>
      <c r="AX592" s="38"/>
    </row>
    <row r="593" spans="45:50">
      <c r="AS593" s="40" t="s">
        <v>739</v>
      </c>
      <c r="AT593" s="41" t="s">
        <v>742</v>
      </c>
      <c r="AU593" s="38"/>
      <c r="AV593" s="38"/>
      <c r="AW593" s="38"/>
      <c r="AX593" s="38"/>
    </row>
    <row r="594" spans="45:50">
      <c r="AS594" s="40" t="s">
        <v>739</v>
      </c>
      <c r="AT594" s="41" t="s">
        <v>743</v>
      </c>
      <c r="AU594" s="38"/>
      <c r="AV594" s="38"/>
      <c r="AW594" s="38"/>
      <c r="AX594" s="38"/>
    </row>
    <row r="595" spans="45:50">
      <c r="AS595" s="40" t="s">
        <v>739</v>
      </c>
      <c r="AT595" s="41" t="s">
        <v>744</v>
      </c>
      <c r="AU595" s="38"/>
      <c r="AV595" s="38"/>
      <c r="AW595" s="38"/>
      <c r="AX595" s="38"/>
    </row>
    <row r="596" spans="45:50">
      <c r="AS596" s="40" t="s">
        <v>739</v>
      </c>
      <c r="AT596" s="41" t="s">
        <v>745</v>
      </c>
      <c r="AU596" s="38"/>
      <c r="AV596" s="38"/>
      <c r="AW596" s="38"/>
      <c r="AX596" s="38"/>
    </row>
    <row r="597" spans="45:50">
      <c r="AS597" s="40" t="s">
        <v>739</v>
      </c>
      <c r="AT597" s="41" t="s">
        <v>746</v>
      </c>
      <c r="AU597" s="38"/>
      <c r="AV597" s="38"/>
      <c r="AW597" s="38"/>
      <c r="AX597" s="38"/>
    </row>
    <row r="598" spans="45:50">
      <c r="AS598" s="40" t="s">
        <v>739</v>
      </c>
      <c r="AT598" s="56" t="s">
        <v>747</v>
      </c>
      <c r="AU598" s="38"/>
      <c r="AV598" s="38"/>
      <c r="AW598" s="38"/>
      <c r="AX598" s="38"/>
    </row>
    <row r="599" spans="45:50">
      <c r="AS599" s="40" t="s">
        <v>739</v>
      </c>
      <c r="AT599" s="41" t="s">
        <v>748</v>
      </c>
      <c r="AU599" s="38"/>
      <c r="AV599" s="38"/>
      <c r="AW599" s="38"/>
      <c r="AX599" s="38"/>
    </row>
    <row r="600" spans="45:50">
      <c r="AS600" s="40" t="s">
        <v>739</v>
      </c>
      <c r="AT600" s="41" t="s">
        <v>749</v>
      </c>
      <c r="AU600" s="38"/>
      <c r="AV600" s="38"/>
      <c r="AW600" s="38"/>
      <c r="AX600" s="38"/>
    </row>
    <row r="601" spans="45:50">
      <c r="AS601" s="40" t="s">
        <v>739</v>
      </c>
      <c r="AT601" s="41" t="s">
        <v>750</v>
      </c>
      <c r="AU601" s="38"/>
      <c r="AV601" s="38"/>
      <c r="AW601" s="38"/>
      <c r="AX601" s="38"/>
    </row>
    <row r="602" spans="45:50">
      <c r="AS602" s="40" t="s">
        <v>739</v>
      </c>
      <c r="AT602" s="41" t="s">
        <v>751</v>
      </c>
      <c r="AU602" s="38"/>
      <c r="AV602" s="38"/>
      <c r="AW602" s="38"/>
      <c r="AX602" s="38"/>
    </row>
    <row r="603" spans="45:50">
      <c r="AS603" s="40" t="s">
        <v>739</v>
      </c>
      <c r="AT603" s="41" t="s">
        <v>752</v>
      </c>
      <c r="AU603" s="38"/>
      <c r="AV603" s="38"/>
      <c r="AW603" s="38"/>
      <c r="AX603" s="38"/>
    </row>
    <row r="604" spans="45:50">
      <c r="AS604" s="40" t="s">
        <v>739</v>
      </c>
      <c r="AT604" s="41" t="s">
        <v>753</v>
      </c>
      <c r="AU604" s="38"/>
      <c r="AV604" s="38"/>
      <c r="AW604" s="38"/>
      <c r="AX604" s="38"/>
    </row>
    <row r="605" spans="45:50">
      <c r="AS605" s="40" t="s">
        <v>739</v>
      </c>
      <c r="AT605" s="41" t="s">
        <v>754</v>
      </c>
      <c r="AU605" s="38"/>
      <c r="AV605" s="38"/>
      <c r="AW605" s="38"/>
      <c r="AX605" s="38"/>
    </row>
    <row r="606" spans="45:50">
      <c r="AS606" s="40" t="s">
        <v>739</v>
      </c>
      <c r="AT606" s="41" t="s">
        <v>755</v>
      </c>
      <c r="AU606" s="38"/>
      <c r="AV606" s="38"/>
      <c r="AW606" s="38"/>
      <c r="AX606" s="38"/>
    </row>
    <row r="607" spans="45:50">
      <c r="AS607" s="40" t="s">
        <v>739</v>
      </c>
      <c r="AT607" s="41" t="s">
        <v>756</v>
      </c>
      <c r="AU607" s="38"/>
      <c r="AV607" s="38"/>
      <c r="AW607" s="38"/>
      <c r="AX607" s="38"/>
    </row>
    <row r="608" spans="45:50">
      <c r="AS608" s="40" t="s">
        <v>739</v>
      </c>
      <c r="AT608" s="41" t="s">
        <v>757</v>
      </c>
      <c r="AU608" s="38"/>
      <c r="AV608" s="38"/>
      <c r="AW608" s="38"/>
      <c r="AX608" s="38"/>
    </row>
    <row r="609" spans="45:50">
      <c r="AS609" s="40" t="s">
        <v>739</v>
      </c>
      <c r="AT609" s="41" t="s">
        <v>758</v>
      </c>
      <c r="AU609" s="38"/>
      <c r="AV609" s="38"/>
      <c r="AW609" s="38"/>
      <c r="AX609" s="38"/>
    </row>
    <row r="610" spans="45:50">
      <c r="AS610" s="40" t="s">
        <v>739</v>
      </c>
      <c r="AT610" s="41" t="s">
        <v>759</v>
      </c>
      <c r="AU610" s="38"/>
      <c r="AV610" s="38"/>
      <c r="AW610" s="38"/>
      <c r="AX610" s="38"/>
    </row>
    <row r="611" spans="45:50">
      <c r="AS611" s="40" t="s">
        <v>739</v>
      </c>
      <c r="AT611" s="41" t="s">
        <v>760</v>
      </c>
      <c r="AU611" s="38"/>
      <c r="AV611" s="38"/>
      <c r="AW611" s="38"/>
      <c r="AX611" s="38"/>
    </row>
    <row r="612" spans="45:50">
      <c r="AS612" s="40" t="s">
        <v>739</v>
      </c>
      <c r="AT612" s="41" t="s">
        <v>761</v>
      </c>
      <c r="AU612" s="38"/>
      <c r="AV612" s="38"/>
      <c r="AW612" s="38"/>
      <c r="AX612" s="38"/>
    </row>
    <row r="613" spans="45:50">
      <c r="AS613" s="40" t="s">
        <v>739</v>
      </c>
      <c r="AT613" s="41" t="s">
        <v>762</v>
      </c>
      <c r="AU613" s="38"/>
      <c r="AV613" s="38"/>
      <c r="AW613" s="38"/>
      <c r="AX613" s="38"/>
    </row>
    <row r="614" spans="45:50">
      <c r="AS614" s="40" t="s">
        <v>739</v>
      </c>
      <c r="AT614" s="41" t="s">
        <v>763</v>
      </c>
      <c r="AU614" s="38"/>
      <c r="AV614" s="38"/>
      <c r="AW614" s="38"/>
      <c r="AX614" s="38"/>
    </row>
    <row r="615" spans="45:50">
      <c r="AS615" s="40" t="s">
        <v>739</v>
      </c>
      <c r="AT615" s="41" t="s">
        <v>764</v>
      </c>
      <c r="AU615" s="38"/>
      <c r="AV615" s="38"/>
      <c r="AW615" s="38"/>
      <c r="AX615" s="38"/>
    </row>
    <row r="616" spans="45:50">
      <c r="AS616" s="40" t="s">
        <v>739</v>
      </c>
      <c r="AT616" s="41" t="s">
        <v>765</v>
      </c>
      <c r="AU616" s="38"/>
      <c r="AV616" s="38"/>
      <c r="AW616" s="38"/>
      <c r="AX616" s="38"/>
    </row>
    <row r="617" spans="45:50">
      <c r="AS617" s="40" t="s">
        <v>739</v>
      </c>
      <c r="AT617" s="41" t="s">
        <v>766</v>
      </c>
      <c r="AU617" s="38"/>
      <c r="AV617" s="38"/>
      <c r="AW617" s="38"/>
      <c r="AX617" s="38"/>
    </row>
    <row r="618" spans="45:50">
      <c r="AS618" s="40" t="s">
        <v>739</v>
      </c>
      <c r="AT618" s="41" t="s">
        <v>767</v>
      </c>
      <c r="AU618" s="38"/>
      <c r="AV618" s="38"/>
      <c r="AW618" s="38"/>
      <c r="AX618" s="38"/>
    </row>
    <row r="619" spans="45:50">
      <c r="AS619" s="40" t="s">
        <v>739</v>
      </c>
      <c r="AT619" s="41" t="s">
        <v>768</v>
      </c>
      <c r="AU619" s="38"/>
      <c r="AV619" s="38"/>
      <c r="AW619" s="38"/>
      <c r="AX619" s="38"/>
    </row>
    <row r="620" spans="45:50">
      <c r="AS620" s="40" t="s">
        <v>739</v>
      </c>
      <c r="AT620" s="41" t="s">
        <v>769</v>
      </c>
      <c r="AU620" s="38"/>
      <c r="AV620" s="38"/>
      <c r="AW620" s="38"/>
      <c r="AX620" s="38"/>
    </row>
    <row r="621" spans="45:50">
      <c r="AS621" s="40" t="s">
        <v>739</v>
      </c>
      <c r="AT621" s="57" t="s">
        <v>770</v>
      </c>
      <c r="AU621" s="38"/>
      <c r="AV621" s="38"/>
      <c r="AW621" s="38"/>
      <c r="AX621" s="38"/>
    </row>
    <row r="622" spans="45:50">
      <c r="AS622" s="40" t="s">
        <v>771</v>
      </c>
      <c r="AT622" s="41" t="s">
        <v>772</v>
      </c>
      <c r="AU622" s="38"/>
      <c r="AV622" s="38"/>
      <c r="AW622" s="38"/>
      <c r="AX622" s="38"/>
    </row>
    <row r="623" spans="45:50">
      <c r="AS623" s="40" t="s">
        <v>771</v>
      </c>
      <c r="AT623" s="41" t="s">
        <v>773</v>
      </c>
      <c r="AU623" s="38"/>
      <c r="AV623" s="38"/>
      <c r="AW623" s="38"/>
      <c r="AX623" s="38"/>
    </row>
    <row r="624" spans="45:50">
      <c r="AS624" s="40" t="s">
        <v>771</v>
      </c>
      <c r="AT624" s="41" t="s">
        <v>774</v>
      </c>
      <c r="AU624" s="38"/>
      <c r="AV624" s="38"/>
      <c r="AW624" s="38"/>
      <c r="AX624" s="38"/>
    </row>
    <row r="625" spans="45:50">
      <c r="AS625" s="40" t="s">
        <v>771</v>
      </c>
      <c r="AT625" s="41" t="s">
        <v>775</v>
      </c>
      <c r="AU625" s="38"/>
      <c r="AV625" s="38"/>
      <c r="AW625" s="38"/>
      <c r="AX625" s="38"/>
    </row>
    <row r="626" spans="45:50">
      <c r="AS626" s="40" t="s">
        <v>771</v>
      </c>
      <c r="AT626" s="41" t="s">
        <v>776</v>
      </c>
      <c r="AU626" s="38"/>
      <c r="AV626" s="38"/>
      <c r="AW626" s="38"/>
      <c r="AX626" s="38"/>
    </row>
    <row r="627" spans="45:50">
      <c r="AS627" s="40" t="s">
        <v>771</v>
      </c>
      <c r="AT627" s="41" t="s">
        <v>777</v>
      </c>
      <c r="AU627" s="38"/>
      <c r="AV627" s="38"/>
      <c r="AW627" s="38"/>
      <c r="AX627" s="38"/>
    </row>
    <row r="628" spans="45:50">
      <c r="AS628" s="40" t="s">
        <v>771</v>
      </c>
      <c r="AT628" s="41" t="s">
        <v>778</v>
      </c>
      <c r="AU628" s="38"/>
      <c r="AV628" s="38"/>
      <c r="AW628" s="38"/>
      <c r="AX628" s="38"/>
    </row>
    <row r="629" spans="45:50">
      <c r="AS629" s="40" t="s">
        <v>771</v>
      </c>
      <c r="AT629" s="41" t="s">
        <v>779</v>
      </c>
      <c r="AU629" s="38"/>
      <c r="AV629" s="38"/>
      <c r="AW629" s="38"/>
      <c r="AX629" s="38"/>
    </row>
    <row r="630" spans="45:50">
      <c r="AS630" s="40" t="s">
        <v>780</v>
      </c>
      <c r="AT630" s="41" t="s">
        <v>781</v>
      </c>
      <c r="AU630" s="38"/>
      <c r="AV630" s="38"/>
      <c r="AW630" s="38"/>
      <c r="AX630" s="38"/>
    </row>
    <row r="631" spans="45:50">
      <c r="AS631" s="40" t="s">
        <v>780</v>
      </c>
      <c r="AT631" s="41" t="s">
        <v>782</v>
      </c>
      <c r="AU631" s="38"/>
      <c r="AV631" s="38"/>
      <c r="AW631" s="38"/>
      <c r="AX631" s="38"/>
    </row>
    <row r="632" spans="45:50">
      <c r="AS632" s="40" t="s">
        <v>780</v>
      </c>
      <c r="AT632" s="41" t="s">
        <v>783</v>
      </c>
      <c r="AU632" s="38"/>
      <c r="AV632" s="38"/>
      <c r="AW632" s="38"/>
      <c r="AX632" s="38"/>
    </row>
    <row r="633" spans="45:50">
      <c r="AS633" s="40" t="s">
        <v>780</v>
      </c>
      <c r="AT633" s="41" t="s">
        <v>784</v>
      </c>
      <c r="AU633" s="38"/>
      <c r="AV633" s="38"/>
      <c r="AW633" s="38"/>
      <c r="AX633" s="38"/>
    </row>
    <row r="634" spans="45:50">
      <c r="AS634" s="40" t="s">
        <v>780</v>
      </c>
      <c r="AT634" s="41" t="s">
        <v>785</v>
      </c>
      <c r="AU634" s="38"/>
      <c r="AV634" s="38"/>
      <c r="AW634" s="38"/>
      <c r="AX634" s="38"/>
    </row>
    <row r="635" spans="45:50">
      <c r="AS635" s="40" t="s">
        <v>780</v>
      </c>
      <c r="AT635" s="41" t="s">
        <v>786</v>
      </c>
      <c r="AU635" s="38"/>
      <c r="AV635" s="38"/>
      <c r="AW635" s="38"/>
      <c r="AX635" s="38"/>
    </row>
    <row r="636" spans="45:50">
      <c r="AS636" s="40" t="s">
        <v>780</v>
      </c>
      <c r="AT636" s="41" t="s">
        <v>787</v>
      </c>
      <c r="AU636" s="38"/>
      <c r="AV636" s="38"/>
      <c r="AW636" s="38"/>
      <c r="AX636" s="38"/>
    </row>
    <row r="637" spans="45:50">
      <c r="AS637" s="40" t="s">
        <v>780</v>
      </c>
      <c r="AT637" s="41" t="s">
        <v>788</v>
      </c>
      <c r="AU637" s="38"/>
      <c r="AV637" s="38"/>
      <c r="AW637" s="38"/>
      <c r="AX637" s="38"/>
    </row>
    <row r="638" spans="45:50">
      <c r="AS638" s="40" t="s">
        <v>780</v>
      </c>
      <c r="AT638" s="41" t="s">
        <v>789</v>
      </c>
      <c r="AU638" s="38"/>
      <c r="AV638" s="38"/>
      <c r="AW638" s="38"/>
      <c r="AX638" s="38"/>
    </row>
    <row r="639" spans="45:50">
      <c r="AS639" s="40" t="s">
        <v>780</v>
      </c>
      <c r="AT639" s="41" t="s">
        <v>266</v>
      </c>
      <c r="AU639" s="38"/>
      <c r="AV639" s="38"/>
      <c r="AW639" s="38"/>
      <c r="AX639" s="38"/>
    </row>
    <row r="640" spans="45:50">
      <c r="AS640" s="40" t="s">
        <v>780</v>
      </c>
      <c r="AT640" s="41" t="s">
        <v>790</v>
      </c>
      <c r="AU640" s="38"/>
      <c r="AV640" s="38"/>
      <c r="AW640" s="38"/>
      <c r="AX640" s="38"/>
    </row>
    <row r="641" spans="45:50">
      <c r="AS641" s="40" t="s">
        <v>780</v>
      </c>
      <c r="AT641" s="41" t="s">
        <v>791</v>
      </c>
      <c r="AU641" s="38"/>
      <c r="AV641" s="38"/>
      <c r="AW641" s="38"/>
      <c r="AX641" s="38"/>
    </row>
    <row r="642" spans="45:50">
      <c r="AS642" s="40" t="s">
        <v>780</v>
      </c>
      <c r="AT642" s="41" t="s">
        <v>792</v>
      </c>
      <c r="AU642" s="38"/>
      <c r="AV642" s="38"/>
      <c r="AW642" s="38"/>
      <c r="AX642" s="38"/>
    </row>
    <row r="643" spans="45:50">
      <c r="AS643" s="40" t="s">
        <v>780</v>
      </c>
      <c r="AT643" s="41" t="s">
        <v>793</v>
      </c>
      <c r="AU643" s="38"/>
      <c r="AV643" s="38"/>
      <c r="AW643" s="38"/>
      <c r="AX643" s="38"/>
    </row>
    <row r="644" spans="45:50">
      <c r="AS644" s="40" t="s">
        <v>780</v>
      </c>
      <c r="AT644" s="41" t="s">
        <v>794</v>
      </c>
      <c r="AU644" s="38"/>
      <c r="AV644" s="38"/>
      <c r="AW644" s="38"/>
      <c r="AX644" s="38"/>
    </row>
    <row r="645" spans="45:50">
      <c r="AS645" s="40" t="s">
        <v>780</v>
      </c>
      <c r="AT645" s="41" t="s">
        <v>795</v>
      </c>
      <c r="AU645" s="38"/>
      <c r="AV645" s="38"/>
      <c r="AW645" s="38"/>
      <c r="AX645" s="38"/>
    </row>
    <row r="646" spans="45:50">
      <c r="AS646" s="40" t="s">
        <v>780</v>
      </c>
      <c r="AT646" s="41" t="s">
        <v>796</v>
      </c>
      <c r="AU646" s="38"/>
      <c r="AV646" s="38"/>
      <c r="AW646" s="38"/>
      <c r="AX646" s="38"/>
    </row>
    <row r="647" spans="45:50">
      <c r="AS647" s="40" t="s">
        <v>780</v>
      </c>
      <c r="AT647" s="41" t="s">
        <v>797</v>
      </c>
      <c r="AU647" s="38"/>
      <c r="AV647" s="38"/>
      <c r="AW647" s="38"/>
      <c r="AX647" s="38"/>
    </row>
    <row r="648" spans="45:50">
      <c r="AS648" s="40" t="s">
        <v>780</v>
      </c>
      <c r="AT648" s="41" t="s">
        <v>798</v>
      </c>
      <c r="AU648" s="38"/>
      <c r="AV648" s="38"/>
      <c r="AW648" s="38"/>
      <c r="AX648" s="38"/>
    </row>
    <row r="649" spans="45:50">
      <c r="AS649" s="40" t="s">
        <v>780</v>
      </c>
      <c r="AT649" s="41" t="s">
        <v>799</v>
      </c>
      <c r="AU649" s="38"/>
      <c r="AV649" s="38"/>
      <c r="AW649" s="38"/>
      <c r="AX649" s="38"/>
    </row>
    <row r="650" spans="45:50">
      <c r="AS650" s="40" t="s">
        <v>780</v>
      </c>
      <c r="AT650" s="41" t="s">
        <v>800</v>
      </c>
      <c r="AU650" s="38"/>
      <c r="AV650" s="38"/>
      <c r="AW650" s="38"/>
      <c r="AX650" s="38"/>
    </row>
    <row r="651" spans="45:50">
      <c r="AS651" s="40" t="s">
        <v>780</v>
      </c>
      <c r="AT651" s="41" t="s">
        <v>801</v>
      </c>
      <c r="AU651" s="38"/>
      <c r="AV651" s="38"/>
      <c r="AW651" s="38"/>
      <c r="AX651" s="38"/>
    </row>
    <row r="652" spans="45:50">
      <c r="AS652" s="40" t="s">
        <v>780</v>
      </c>
      <c r="AT652" s="41" t="s">
        <v>802</v>
      </c>
      <c r="AU652" s="38"/>
      <c r="AV652" s="38"/>
      <c r="AW652" s="38"/>
      <c r="AX652" s="38"/>
    </row>
    <row r="653" spans="45:50">
      <c r="AS653" s="40" t="s">
        <v>780</v>
      </c>
      <c r="AT653" s="41" t="s">
        <v>803</v>
      </c>
      <c r="AU653" s="38"/>
      <c r="AV653" s="38"/>
      <c r="AW653" s="38"/>
      <c r="AX653" s="38"/>
    </row>
    <row r="654" spans="45:50">
      <c r="AS654" s="40" t="s">
        <v>780</v>
      </c>
      <c r="AT654" s="41" t="s">
        <v>804</v>
      </c>
      <c r="AU654" s="38"/>
      <c r="AV654" s="38"/>
      <c r="AW654" s="38"/>
      <c r="AX654" s="38"/>
    </row>
    <row r="655" spans="45:50">
      <c r="AS655" s="40" t="s">
        <v>780</v>
      </c>
      <c r="AT655" s="41" t="s">
        <v>805</v>
      </c>
      <c r="AU655" s="38"/>
      <c r="AV655" s="38"/>
      <c r="AW655" s="38"/>
      <c r="AX655" s="38"/>
    </row>
    <row r="656" spans="45:50">
      <c r="AS656" s="40" t="s">
        <v>780</v>
      </c>
      <c r="AT656" s="41" t="s">
        <v>806</v>
      </c>
      <c r="AU656" s="38"/>
      <c r="AV656" s="38"/>
      <c r="AW656" s="38"/>
      <c r="AX656" s="38"/>
    </row>
    <row r="657" spans="45:50">
      <c r="AS657" s="40" t="s">
        <v>780</v>
      </c>
      <c r="AT657" s="41" t="s">
        <v>807</v>
      </c>
      <c r="AU657" s="38"/>
      <c r="AV657" s="38"/>
      <c r="AW657" s="38"/>
      <c r="AX657" s="38"/>
    </row>
    <row r="658" spans="45:50">
      <c r="AS658" s="40" t="s">
        <v>780</v>
      </c>
      <c r="AT658" s="41" t="s">
        <v>808</v>
      </c>
      <c r="AU658" s="38"/>
      <c r="AV658" s="38"/>
      <c r="AW658" s="38"/>
      <c r="AX658" s="38"/>
    </row>
    <row r="659" spans="45:50">
      <c r="AS659" s="40" t="s">
        <v>780</v>
      </c>
      <c r="AT659" s="41" t="s">
        <v>809</v>
      </c>
      <c r="AU659" s="38"/>
      <c r="AV659" s="38"/>
      <c r="AW659" s="38"/>
      <c r="AX659" s="38"/>
    </row>
    <row r="660" spans="45:50">
      <c r="AS660" s="40" t="s">
        <v>780</v>
      </c>
      <c r="AT660" s="41" t="s">
        <v>810</v>
      </c>
      <c r="AU660" s="38"/>
      <c r="AV660" s="38"/>
      <c r="AW660" s="38"/>
      <c r="AX660" s="38"/>
    </row>
    <row r="661" spans="45:50">
      <c r="AS661" s="40" t="s">
        <v>780</v>
      </c>
      <c r="AT661" s="41" t="s">
        <v>811</v>
      </c>
      <c r="AU661" s="38"/>
      <c r="AV661" s="38"/>
      <c r="AW661" s="38"/>
      <c r="AX661" s="38"/>
    </row>
    <row r="662" spans="45:50">
      <c r="AS662" s="40" t="s">
        <v>780</v>
      </c>
      <c r="AT662" s="41" t="s">
        <v>371</v>
      </c>
      <c r="AU662" s="38"/>
      <c r="AV662" s="38"/>
      <c r="AW662" s="38"/>
      <c r="AX662" s="38"/>
    </row>
    <row r="663" spans="45:50">
      <c r="AS663" s="40" t="s">
        <v>780</v>
      </c>
      <c r="AT663" s="41" t="s">
        <v>812</v>
      </c>
      <c r="AU663" s="38"/>
      <c r="AV663" s="38"/>
      <c r="AW663" s="38"/>
      <c r="AX663" s="38"/>
    </row>
    <row r="664" spans="45:50">
      <c r="AS664" s="40" t="s">
        <v>780</v>
      </c>
      <c r="AT664" s="41" t="s">
        <v>813</v>
      </c>
      <c r="AU664" s="38"/>
      <c r="AV664" s="38"/>
      <c r="AW664" s="38"/>
      <c r="AX664" s="38"/>
    </row>
    <row r="665" spans="45:50">
      <c r="AS665" s="40" t="s">
        <v>780</v>
      </c>
      <c r="AT665" s="41" t="s">
        <v>814</v>
      </c>
      <c r="AU665" s="38"/>
      <c r="AV665" s="38"/>
      <c r="AW665" s="38"/>
      <c r="AX665" s="38"/>
    </row>
    <row r="666" spans="45:50">
      <c r="AS666" s="40" t="s">
        <v>780</v>
      </c>
      <c r="AT666" s="41" t="s">
        <v>815</v>
      </c>
      <c r="AU666" s="38"/>
      <c r="AV666" s="38"/>
      <c r="AW666" s="38"/>
      <c r="AX666" s="38"/>
    </row>
    <row r="667" spans="45:50">
      <c r="AS667" s="40" t="s">
        <v>780</v>
      </c>
      <c r="AT667" s="41" t="s">
        <v>816</v>
      </c>
      <c r="AU667" s="38"/>
      <c r="AV667" s="38"/>
      <c r="AW667" s="38"/>
      <c r="AX667" s="38"/>
    </row>
    <row r="668" spans="45:50">
      <c r="AS668" s="40" t="s">
        <v>780</v>
      </c>
      <c r="AT668" s="41" t="s">
        <v>817</v>
      </c>
      <c r="AU668" s="38"/>
      <c r="AV668" s="38"/>
      <c r="AW668" s="38"/>
      <c r="AX668" s="38"/>
    </row>
    <row r="669" spans="45:50">
      <c r="AS669" s="40" t="s">
        <v>780</v>
      </c>
      <c r="AT669" s="41" t="s">
        <v>818</v>
      </c>
      <c r="AU669" s="38"/>
      <c r="AV669" s="38"/>
      <c r="AW669" s="38"/>
      <c r="AX669" s="38"/>
    </row>
    <row r="670" spans="45:50">
      <c r="AS670" s="40" t="s">
        <v>780</v>
      </c>
      <c r="AT670" s="41" t="s">
        <v>819</v>
      </c>
      <c r="AU670" s="38"/>
      <c r="AV670" s="38"/>
      <c r="AW670" s="38"/>
      <c r="AX670" s="38"/>
    </row>
    <row r="671" spans="45:50">
      <c r="AS671" s="40" t="s">
        <v>780</v>
      </c>
      <c r="AT671" s="41" t="s">
        <v>820</v>
      </c>
      <c r="AU671" s="38"/>
      <c r="AV671" s="38"/>
      <c r="AW671" s="38"/>
      <c r="AX671" s="38"/>
    </row>
    <row r="672" spans="45:50">
      <c r="AS672" s="40" t="s">
        <v>780</v>
      </c>
      <c r="AT672" s="41" t="s">
        <v>821</v>
      </c>
      <c r="AU672" s="38"/>
      <c r="AV672" s="38"/>
      <c r="AW672" s="38"/>
      <c r="AX672" s="38"/>
    </row>
    <row r="673" spans="45:50">
      <c r="AS673" s="40" t="s">
        <v>780</v>
      </c>
      <c r="AT673" s="41" t="s">
        <v>822</v>
      </c>
      <c r="AU673" s="38"/>
      <c r="AV673" s="38"/>
      <c r="AW673" s="38"/>
      <c r="AX673" s="38"/>
    </row>
    <row r="674" spans="45:50">
      <c r="AS674" s="40" t="s">
        <v>780</v>
      </c>
      <c r="AT674" s="41" t="s">
        <v>823</v>
      </c>
      <c r="AU674" s="38"/>
      <c r="AV674" s="38"/>
      <c r="AW674" s="38"/>
      <c r="AX674" s="38"/>
    </row>
    <row r="675" spans="45:50">
      <c r="AS675" s="40" t="s">
        <v>780</v>
      </c>
      <c r="AT675" s="41" t="s">
        <v>824</v>
      </c>
      <c r="AU675" s="38"/>
      <c r="AV675" s="38"/>
      <c r="AW675" s="38"/>
      <c r="AX675" s="38"/>
    </row>
    <row r="676" spans="45:50">
      <c r="AS676" s="40" t="s">
        <v>780</v>
      </c>
      <c r="AT676" s="41" t="s">
        <v>825</v>
      </c>
      <c r="AU676" s="38"/>
      <c r="AV676" s="38"/>
      <c r="AW676" s="38"/>
      <c r="AX676" s="38"/>
    </row>
    <row r="677" spans="45:50">
      <c r="AS677" s="40" t="s">
        <v>780</v>
      </c>
      <c r="AT677" s="41" t="s">
        <v>826</v>
      </c>
      <c r="AU677" s="38"/>
      <c r="AV677" s="38"/>
      <c r="AW677" s="38"/>
      <c r="AX677" s="38"/>
    </row>
    <row r="678" spans="45:50">
      <c r="AS678" s="40" t="s">
        <v>780</v>
      </c>
      <c r="AT678" s="41" t="s">
        <v>827</v>
      </c>
      <c r="AU678" s="38"/>
      <c r="AV678" s="38"/>
      <c r="AW678" s="38"/>
      <c r="AX678" s="38"/>
    </row>
    <row r="679" spans="45:50">
      <c r="AS679" s="40" t="s">
        <v>780</v>
      </c>
      <c r="AT679" s="41" t="s">
        <v>828</v>
      </c>
      <c r="AU679" s="38"/>
      <c r="AV679" s="38"/>
      <c r="AW679" s="38"/>
      <c r="AX679" s="38"/>
    </row>
    <row r="680" spans="45:50">
      <c r="AS680" s="40" t="s">
        <v>780</v>
      </c>
      <c r="AT680" s="41" t="s">
        <v>829</v>
      </c>
      <c r="AU680" s="38"/>
      <c r="AV680" s="38"/>
      <c r="AW680" s="38"/>
      <c r="AX680" s="38"/>
    </row>
    <row r="681" spans="45:50">
      <c r="AS681" s="40" t="s">
        <v>780</v>
      </c>
      <c r="AT681" s="41" t="s">
        <v>830</v>
      </c>
      <c r="AU681" s="38"/>
      <c r="AV681" s="38"/>
      <c r="AW681" s="38"/>
      <c r="AX681" s="38"/>
    </row>
    <row r="682" spans="45:50">
      <c r="AS682" s="40" t="s">
        <v>780</v>
      </c>
      <c r="AT682" s="41" t="s">
        <v>831</v>
      </c>
      <c r="AU682" s="38"/>
      <c r="AV682" s="38"/>
      <c r="AW682" s="38"/>
      <c r="AX682" s="38"/>
    </row>
    <row r="683" spans="45:50">
      <c r="AS683" s="40" t="s">
        <v>780</v>
      </c>
      <c r="AT683" s="41" t="s">
        <v>832</v>
      </c>
      <c r="AU683" s="38"/>
      <c r="AV683" s="38"/>
      <c r="AW683" s="38"/>
      <c r="AX683" s="38"/>
    </row>
    <row r="684" spans="45:50">
      <c r="AS684" s="40" t="s">
        <v>780</v>
      </c>
      <c r="AT684" s="41" t="s">
        <v>833</v>
      </c>
      <c r="AU684" s="38"/>
      <c r="AV684" s="38"/>
      <c r="AW684" s="38"/>
      <c r="AX684" s="38"/>
    </row>
    <row r="685" spans="45:50">
      <c r="AS685" s="40" t="s">
        <v>780</v>
      </c>
      <c r="AT685" s="41" t="s">
        <v>834</v>
      </c>
      <c r="AU685" s="38"/>
      <c r="AV685" s="38"/>
      <c r="AW685" s="38"/>
      <c r="AX685" s="38"/>
    </row>
    <row r="686" spans="45:50">
      <c r="AS686" s="40" t="s">
        <v>780</v>
      </c>
      <c r="AT686" s="41" t="s">
        <v>835</v>
      </c>
      <c r="AU686" s="38"/>
      <c r="AV686" s="38"/>
      <c r="AW686" s="38"/>
      <c r="AX686" s="38"/>
    </row>
    <row r="687" spans="45:50">
      <c r="AS687" s="40" t="s">
        <v>780</v>
      </c>
      <c r="AT687" s="41" t="s">
        <v>836</v>
      </c>
      <c r="AU687" s="38"/>
      <c r="AV687" s="38"/>
      <c r="AW687" s="38"/>
      <c r="AX687" s="38"/>
    </row>
    <row r="688" spans="45:50">
      <c r="AS688" s="40" t="s">
        <v>780</v>
      </c>
      <c r="AT688" s="41" t="s">
        <v>837</v>
      </c>
      <c r="AU688" s="38"/>
      <c r="AV688" s="38"/>
      <c r="AW688" s="38"/>
      <c r="AX688" s="38"/>
    </row>
    <row r="689" spans="45:50">
      <c r="AS689" s="40" t="s">
        <v>780</v>
      </c>
      <c r="AT689" s="41" t="s">
        <v>698</v>
      </c>
      <c r="AU689" s="38"/>
      <c r="AV689" s="38"/>
      <c r="AW689" s="38"/>
      <c r="AX689" s="38"/>
    </row>
    <row r="690" spans="45:50">
      <c r="AS690" s="40" t="s">
        <v>780</v>
      </c>
      <c r="AT690" s="41" t="s">
        <v>838</v>
      </c>
      <c r="AU690" s="38"/>
      <c r="AV690" s="38"/>
      <c r="AW690" s="38"/>
      <c r="AX690" s="38"/>
    </row>
    <row r="691" spans="45:50">
      <c r="AS691" s="40" t="s">
        <v>780</v>
      </c>
      <c r="AT691" s="41" t="s">
        <v>839</v>
      </c>
      <c r="AU691" s="38"/>
      <c r="AV691" s="38"/>
      <c r="AW691" s="38"/>
      <c r="AX691" s="38"/>
    </row>
    <row r="692" spans="45:50">
      <c r="AS692" s="40" t="s">
        <v>780</v>
      </c>
      <c r="AT692" s="41" t="s">
        <v>840</v>
      </c>
      <c r="AU692" s="38"/>
      <c r="AV692" s="38"/>
      <c r="AW692" s="38"/>
      <c r="AX692" s="38"/>
    </row>
    <row r="693" spans="45:50">
      <c r="AS693" s="40" t="s">
        <v>780</v>
      </c>
      <c r="AT693" s="41" t="s">
        <v>841</v>
      </c>
      <c r="AU693" s="38"/>
      <c r="AV693" s="38"/>
      <c r="AW693" s="38"/>
      <c r="AX693" s="38"/>
    </row>
    <row r="694" spans="45:50">
      <c r="AS694" s="40" t="s">
        <v>780</v>
      </c>
      <c r="AT694" s="41" t="s">
        <v>842</v>
      </c>
      <c r="AU694" s="38"/>
      <c r="AV694" s="38"/>
      <c r="AW694" s="38"/>
      <c r="AX694" s="38"/>
    </row>
    <row r="695" spans="45:50">
      <c r="AS695" s="40" t="s">
        <v>780</v>
      </c>
      <c r="AT695" s="41" t="s">
        <v>843</v>
      </c>
      <c r="AU695" s="38"/>
      <c r="AV695" s="38"/>
      <c r="AW695" s="38"/>
      <c r="AX695" s="38"/>
    </row>
    <row r="696" spans="45:50">
      <c r="AS696" s="40" t="s">
        <v>780</v>
      </c>
      <c r="AT696" s="41" t="s">
        <v>844</v>
      </c>
      <c r="AU696" s="38"/>
      <c r="AV696" s="38"/>
      <c r="AW696" s="38"/>
      <c r="AX696" s="38"/>
    </row>
    <row r="697" spans="45:50">
      <c r="AS697" s="40" t="s">
        <v>780</v>
      </c>
      <c r="AT697" s="41" t="s">
        <v>845</v>
      </c>
      <c r="AU697" s="38"/>
      <c r="AV697" s="38"/>
      <c r="AW697" s="38"/>
      <c r="AX697" s="38"/>
    </row>
    <row r="698" spans="45:50">
      <c r="AS698" s="40" t="s">
        <v>780</v>
      </c>
      <c r="AT698" s="41" t="s">
        <v>846</v>
      </c>
      <c r="AU698" s="38"/>
      <c r="AV698" s="38"/>
      <c r="AW698" s="38"/>
      <c r="AX698" s="38"/>
    </row>
    <row r="699" spans="45:50">
      <c r="AS699" s="40" t="s">
        <v>780</v>
      </c>
      <c r="AT699" s="41" t="s">
        <v>847</v>
      </c>
      <c r="AU699" s="38"/>
      <c r="AV699" s="38"/>
      <c r="AW699" s="38"/>
      <c r="AX699" s="38"/>
    </row>
    <row r="700" spans="45:50">
      <c r="AS700" s="40" t="s">
        <v>780</v>
      </c>
      <c r="AT700" s="41" t="s">
        <v>848</v>
      </c>
      <c r="AU700" s="38"/>
      <c r="AV700" s="38"/>
      <c r="AW700" s="38"/>
      <c r="AX700" s="38"/>
    </row>
    <row r="701" spans="45:50">
      <c r="AS701" s="40" t="s">
        <v>780</v>
      </c>
      <c r="AT701" s="41" t="s">
        <v>849</v>
      </c>
      <c r="AU701" s="38"/>
      <c r="AV701" s="38"/>
      <c r="AW701" s="38"/>
      <c r="AX701" s="38"/>
    </row>
    <row r="702" spans="45:50">
      <c r="AS702" s="40" t="s">
        <v>780</v>
      </c>
      <c r="AT702" s="41" t="s">
        <v>850</v>
      </c>
      <c r="AU702" s="38"/>
      <c r="AV702" s="38"/>
      <c r="AW702" s="38"/>
      <c r="AX702" s="38"/>
    </row>
    <row r="703" spans="45:50">
      <c r="AS703" s="40" t="s">
        <v>780</v>
      </c>
      <c r="AT703" s="41" t="s">
        <v>851</v>
      </c>
      <c r="AU703" s="38"/>
      <c r="AV703" s="38"/>
      <c r="AW703" s="38"/>
      <c r="AX703" s="38"/>
    </row>
    <row r="704" spans="45:50">
      <c r="AS704" s="40" t="s">
        <v>780</v>
      </c>
      <c r="AT704" s="41" t="s">
        <v>852</v>
      </c>
      <c r="AU704" s="38"/>
      <c r="AV704" s="38"/>
      <c r="AW704" s="38"/>
      <c r="AX704" s="38"/>
    </row>
    <row r="705" spans="45:50">
      <c r="AS705" s="40" t="s">
        <v>853</v>
      </c>
      <c r="AT705" s="41" t="s">
        <v>854</v>
      </c>
      <c r="AU705" s="38"/>
      <c r="AV705" s="38"/>
      <c r="AW705" s="38"/>
      <c r="AX705" s="38"/>
    </row>
    <row r="706" spans="45:50">
      <c r="AS706" s="40" t="s">
        <v>853</v>
      </c>
      <c r="AT706" s="41" t="s">
        <v>855</v>
      </c>
      <c r="AU706" s="38"/>
      <c r="AV706" s="38"/>
      <c r="AW706" s="38"/>
      <c r="AX706" s="38"/>
    </row>
    <row r="707" spans="45:50">
      <c r="AS707" s="40" t="s">
        <v>853</v>
      </c>
      <c r="AT707" s="41" t="s">
        <v>856</v>
      </c>
      <c r="AU707" s="38"/>
      <c r="AV707" s="38"/>
      <c r="AW707" s="38"/>
      <c r="AX707" s="38"/>
    </row>
    <row r="708" spans="45:50">
      <c r="AS708" s="40" t="s">
        <v>853</v>
      </c>
      <c r="AT708" s="41" t="s">
        <v>857</v>
      </c>
      <c r="AU708" s="38"/>
      <c r="AV708" s="38"/>
      <c r="AW708" s="38"/>
      <c r="AX708" s="38"/>
    </row>
    <row r="709" spans="45:50">
      <c r="AS709" s="40" t="s">
        <v>853</v>
      </c>
      <c r="AT709" s="41" t="s">
        <v>858</v>
      </c>
      <c r="AU709" s="38"/>
      <c r="AV709" s="38"/>
      <c r="AW709" s="38"/>
      <c r="AX709" s="38"/>
    </row>
    <row r="710" spans="45:50">
      <c r="AS710" s="40" t="s">
        <v>853</v>
      </c>
      <c r="AT710" s="41" t="s">
        <v>859</v>
      </c>
      <c r="AU710" s="38"/>
      <c r="AV710" s="38"/>
      <c r="AW710" s="38"/>
      <c r="AX710" s="38"/>
    </row>
    <row r="711" spans="45:50">
      <c r="AS711" s="40" t="s">
        <v>853</v>
      </c>
      <c r="AT711" s="41" t="s">
        <v>860</v>
      </c>
      <c r="AU711" s="38"/>
      <c r="AV711" s="38"/>
      <c r="AW711" s="38"/>
      <c r="AX711" s="38"/>
    </row>
    <row r="712" spans="45:50">
      <c r="AS712" s="40" t="s">
        <v>853</v>
      </c>
      <c r="AT712" s="41" t="s">
        <v>861</v>
      </c>
      <c r="AU712" s="38"/>
      <c r="AV712" s="38"/>
      <c r="AW712" s="38"/>
      <c r="AX712" s="38"/>
    </row>
    <row r="713" spans="45:50">
      <c r="AS713" s="40" t="s">
        <v>853</v>
      </c>
      <c r="AT713" s="41" t="s">
        <v>862</v>
      </c>
      <c r="AU713" s="38"/>
      <c r="AV713" s="38"/>
      <c r="AW713" s="38"/>
      <c r="AX713" s="38"/>
    </row>
    <row r="714" spans="45:50">
      <c r="AS714" s="40" t="s">
        <v>853</v>
      </c>
      <c r="AT714" s="41" t="s">
        <v>863</v>
      </c>
      <c r="AU714" s="38"/>
      <c r="AV714" s="38"/>
      <c r="AW714" s="38"/>
      <c r="AX714" s="38"/>
    </row>
    <row r="715" spans="45:50">
      <c r="AS715" s="40" t="s">
        <v>853</v>
      </c>
      <c r="AT715" s="41" t="s">
        <v>864</v>
      </c>
      <c r="AU715" s="38"/>
      <c r="AV715" s="38"/>
      <c r="AW715" s="38"/>
      <c r="AX715" s="38"/>
    </row>
    <row r="716" spans="45:50">
      <c r="AS716" s="40" t="s">
        <v>853</v>
      </c>
      <c r="AT716" s="41" t="s">
        <v>865</v>
      </c>
      <c r="AU716" s="38"/>
      <c r="AV716" s="38"/>
      <c r="AW716" s="38"/>
      <c r="AX716" s="38"/>
    </row>
    <row r="717" spans="45:50">
      <c r="AS717" s="40" t="s">
        <v>853</v>
      </c>
      <c r="AT717" s="41" t="s">
        <v>866</v>
      </c>
      <c r="AU717" s="38"/>
      <c r="AV717" s="38"/>
      <c r="AW717" s="38"/>
      <c r="AX717" s="38"/>
    </row>
    <row r="718" spans="45:50">
      <c r="AS718" s="59" t="s">
        <v>867</v>
      </c>
      <c r="AT718" s="60" t="s">
        <v>868</v>
      </c>
      <c r="AU718" s="38"/>
      <c r="AV718" s="38"/>
      <c r="AW718" s="38"/>
      <c r="AX718" s="38"/>
    </row>
    <row r="719" spans="45:50">
      <c r="AS719" s="59" t="s">
        <v>867</v>
      </c>
      <c r="AT719" s="41" t="s">
        <v>869</v>
      </c>
      <c r="AU719" s="38"/>
      <c r="AV719" s="38"/>
      <c r="AW719" s="38"/>
      <c r="AX719" s="38"/>
    </row>
    <row r="720" spans="45:50">
      <c r="AS720" s="59" t="s">
        <v>867</v>
      </c>
      <c r="AT720" s="41" t="s">
        <v>870</v>
      </c>
      <c r="AU720" s="38"/>
      <c r="AV720" s="38"/>
      <c r="AW720" s="38"/>
      <c r="AX720" s="38"/>
    </row>
    <row r="721" spans="45:50">
      <c r="AS721" s="59" t="s">
        <v>867</v>
      </c>
      <c r="AT721" s="41" t="s">
        <v>871</v>
      </c>
      <c r="AU721" s="38"/>
      <c r="AV721" s="38"/>
      <c r="AW721" s="38"/>
      <c r="AX721" s="38"/>
    </row>
    <row r="722" spans="45:50">
      <c r="AS722" s="59" t="s">
        <v>867</v>
      </c>
      <c r="AT722" s="41" t="s">
        <v>872</v>
      </c>
      <c r="AU722" s="38"/>
      <c r="AV722" s="38"/>
      <c r="AW722" s="38"/>
      <c r="AX722" s="38"/>
    </row>
    <row r="723" spans="45:50">
      <c r="AS723" s="59" t="s">
        <v>867</v>
      </c>
      <c r="AT723" s="41" t="s">
        <v>873</v>
      </c>
      <c r="AU723" s="38"/>
      <c r="AV723" s="38"/>
      <c r="AW723" s="38"/>
      <c r="AX723" s="38"/>
    </row>
    <row r="724" spans="45:50">
      <c r="AS724" s="59" t="s">
        <v>867</v>
      </c>
      <c r="AT724" s="41" t="s">
        <v>874</v>
      </c>
      <c r="AU724" s="38"/>
      <c r="AV724" s="38"/>
      <c r="AW724" s="38"/>
      <c r="AX724" s="38"/>
    </row>
    <row r="725" spans="45:50">
      <c r="AS725" s="59" t="s">
        <v>867</v>
      </c>
      <c r="AT725" s="41" t="s">
        <v>875</v>
      </c>
      <c r="AU725" s="38"/>
      <c r="AV725" s="38"/>
      <c r="AW725" s="38"/>
      <c r="AX725" s="38"/>
    </row>
    <row r="726" spans="45:50">
      <c r="AS726" s="59" t="s">
        <v>867</v>
      </c>
      <c r="AT726" s="41" t="s">
        <v>876</v>
      </c>
      <c r="AU726" s="38"/>
      <c r="AV726" s="38"/>
      <c r="AW726" s="38"/>
      <c r="AX726" s="38"/>
    </row>
    <row r="727" spans="45:50">
      <c r="AS727" s="59" t="s">
        <v>867</v>
      </c>
      <c r="AT727" s="41" t="s">
        <v>877</v>
      </c>
      <c r="AU727" s="38"/>
      <c r="AV727" s="38"/>
      <c r="AW727" s="38"/>
      <c r="AX727" s="38"/>
    </row>
    <row r="728" spans="45:50">
      <c r="AS728" s="59" t="s">
        <v>867</v>
      </c>
      <c r="AT728" s="41" t="s">
        <v>878</v>
      </c>
      <c r="AU728" s="38"/>
      <c r="AV728" s="38"/>
      <c r="AW728" s="38"/>
      <c r="AX728" s="38"/>
    </row>
    <row r="729" spans="45:50">
      <c r="AS729" s="59" t="s">
        <v>867</v>
      </c>
      <c r="AT729" s="41" t="s">
        <v>879</v>
      </c>
      <c r="AU729" s="38"/>
      <c r="AV729" s="38"/>
      <c r="AW729" s="38"/>
      <c r="AX729" s="38"/>
    </row>
    <row r="730" spans="45:50">
      <c r="AS730" s="59" t="s">
        <v>867</v>
      </c>
      <c r="AT730" s="41" t="s">
        <v>880</v>
      </c>
      <c r="AU730" s="38"/>
      <c r="AV730" s="38"/>
      <c r="AW730" s="38"/>
      <c r="AX730" s="38"/>
    </row>
    <row r="731" spans="45:50">
      <c r="AS731" s="59" t="s">
        <v>867</v>
      </c>
      <c r="AT731" s="41" t="s">
        <v>881</v>
      </c>
      <c r="AU731" s="38"/>
      <c r="AV731" s="38"/>
      <c r="AW731" s="38"/>
      <c r="AX731" s="38"/>
    </row>
    <row r="732" spans="45:50">
      <c r="AS732" s="59" t="s">
        <v>867</v>
      </c>
      <c r="AT732" s="41" t="s">
        <v>882</v>
      </c>
      <c r="AU732" s="38"/>
      <c r="AV732" s="38"/>
      <c r="AW732" s="38"/>
      <c r="AX732" s="38"/>
    </row>
    <row r="733" spans="45:50">
      <c r="AS733" s="59" t="s">
        <v>867</v>
      </c>
      <c r="AT733" s="41" t="s">
        <v>883</v>
      </c>
      <c r="AU733" s="38"/>
      <c r="AV733" s="38"/>
      <c r="AW733" s="38"/>
      <c r="AX733" s="38"/>
    </row>
    <row r="734" spans="45:50">
      <c r="AS734" s="59" t="s">
        <v>867</v>
      </c>
      <c r="AT734" s="41" t="s">
        <v>884</v>
      </c>
      <c r="AU734" s="38"/>
      <c r="AV734" s="38"/>
      <c r="AW734" s="38"/>
      <c r="AX734" s="38"/>
    </row>
    <row r="735" spans="45:50">
      <c r="AS735" s="59" t="s">
        <v>867</v>
      </c>
      <c r="AT735" s="41" t="s">
        <v>885</v>
      </c>
      <c r="AU735" s="38"/>
      <c r="AV735" s="38"/>
      <c r="AW735" s="38"/>
      <c r="AX735" s="38"/>
    </row>
    <row r="736" spans="45:50">
      <c r="AS736" s="59" t="s">
        <v>867</v>
      </c>
      <c r="AT736" s="41" t="s">
        <v>886</v>
      </c>
      <c r="AU736" s="38"/>
      <c r="AV736" s="38"/>
      <c r="AW736" s="38"/>
      <c r="AX736" s="38"/>
    </row>
    <row r="737" spans="45:50">
      <c r="AS737" s="59" t="s">
        <v>867</v>
      </c>
      <c r="AT737" s="41" t="s">
        <v>887</v>
      </c>
      <c r="AU737" s="38"/>
      <c r="AV737" s="38"/>
      <c r="AW737" s="38"/>
      <c r="AX737" s="38"/>
    </row>
    <row r="738" spans="45:50">
      <c r="AS738" s="59" t="s">
        <v>867</v>
      </c>
      <c r="AT738" s="41" t="s">
        <v>888</v>
      </c>
      <c r="AU738" s="38"/>
      <c r="AV738" s="38"/>
      <c r="AW738" s="38"/>
      <c r="AX738" s="38"/>
    </row>
  </sheetData>
  <sheetProtection sheet="1" insertColumns="0" insertRows="0" deleteColumns="0" deleteRows="0"/>
  <mergeCells count="304">
    <mergeCell ref="A188:B188"/>
    <mergeCell ref="A184:B184"/>
    <mergeCell ref="C184:F184"/>
    <mergeCell ref="G184:N184"/>
    <mergeCell ref="O184:S184"/>
    <mergeCell ref="A185:B185"/>
    <mergeCell ref="C185:F188"/>
    <mergeCell ref="G185:N188"/>
    <mergeCell ref="O185:S188"/>
    <mergeCell ref="A186:B186"/>
    <mergeCell ref="A187:B187"/>
    <mergeCell ref="A178:A179"/>
    <mergeCell ref="O178:S178"/>
    <mergeCell ref="O179:S179"/>
    <mergeCell ref="A180:A181"/>
    <mergeCell ref="A182:A183"/>
    <mergeCell ref="O182:S182"/>
    <mergeCell ref="O183:S183"/>
    <mergeCell ref="A174:A175"/>
    <mergeCell ref="O174:S174"/>
    <mergeCell ref="O175:S175"/>
    <mergeCell ref="A176:A177"/>
    <mergeCell ref="O176:S176"/>
    <mergeCell ref="O177:S177"/>
    <mergeCell ref="A170:A171"/>
    <mergeCell ref="O170:S170"/>
    <mergeCell ref="O171:S171"/>
    <mergeCell ref="A172:A173"/>
    <mergeCell ref="O172:S172"/>
    <mergeCell ref="O173:S173"/>
    <mergeCell ref="A166:A167"/>
    <mergeCell ref="O166:S166"/>
    <mergeCell ref="O167:S167"/>
    <mergeCell ref="A168:A169"/>
    <mergeCell ref="O168:S168"/>
    <mergeCell ref="O169:S169"/>
    <mergeCell ref="A162:A163"/>
    <mergeCell ref="O162:S162"/>
    <mergeCell ref="O163:S163"/>
    <mergeCell ref="A164:A165"/>
    <mergeCell ref="O164:S164"/>
    <mergeCell ref="O165:S165"/>
    <mergeCell ref="A158:A159"/>
    <mergeCell ref="O158:S158"/>
    <mergeCell ref="O159:S159"/>
    <mergeCell ref="A160:A161"/>
    <mergeCell ref="O160:S160"/>
    <mergeCell ref="O161:S161"/>
    <mergeCell ref="A154:A155"/>
    <mergeCell ref="O154:S154"/>
    <mergeCell ref="O155:S155"/>
    <mergeCell ref="A156:A157"/>
    <mergeCell ref="O156:S156"/>
    <mergeCell ref="O157:S157"/>
    <mergeCell ref="A150:A151"/>
    <mergeCell ref="O150:S150"/>
    <mergeCell ref="O151:S151"/>
    <mergeCell ref="A152:A153"/>
    <mergeCell ref="O152:S152"/>
    <mergeCell ref="O153:S153"/>
    <mergeCell ref="A146:A147"/>
    <mergeCell ref="O146:S146"/>
    <mergeCell ref="O147:S147"/>
    <mergeCell ref="A148:A149"/>
    <mergeCell ref="O148:S148"/>
    <mergeCell ref="O149:S149"/>
    <mergeCell ref="A142:A143"/>
    <mergeCell ref="O142:S142"/>
    <mergeCell ref="O143:S143"/>
    <mergeCell ref="A144:A145"/>
    <mergeCell ref="O144:S144"/>
    <mergeCell ref="O145:S145"/>
    <mergeCell ref="A138:A139"/>
    <mergeCell ref="O138:S138"/>
    <mergeCell ref="O139:S139"/>
    <mergeCell ref="A140:A141"/>
    <mergeCell ref="O140:S140"/>
    <mergeCell ref="O141:S141"/>
    <mergeCell ref="A130:A131"/>
    <mergeCell ref="A132:A133"/>
    <mergeCell ref="A134:A135"/>
    <mergeCell ref="A136:A137"/>
    <mergeCell ref="O136:S136"/>
    <mergeCell ref="O137:S137"/>
    <mergeCell ref="A126:A127"/>
    <mergeCell ref="O126:S126"/>
    <mergeCell ref="O127:S127"/>
    <mergeCell ref="A128:A129"/>
    <mergeCell ref="O128:S128"/>
    <mergeCell ref="O129:S129"/>
    <mergeCell ref="A122:A123"/>
    <mergeCell ref="O122:S122"/>
    <mergeCell ref="O123:S123"/>
    <mergeCell ref="A124:A125"/>
    <mergeCell ref="O124:S124"/>
    <mergeCell ref="O125:S125"/>
    <mergeCell ref="A114:A115"/>
    <mergeCell ref="A116:A117"/>
    <mergeCell ref="A118:A119"/>
    <mergeCell ref="O118:S118"/>
    <mergeCell ref="O119:S119"/>
    <mergeCell ref="A120:A121"/>
    <mergeCell ref="O120:S120"/>
    <mergeCell ref="O121:S121"/>
    <mergeCell ref="A110:A111"/>
    <mergeCell ref="O110:S110"/>
    <mergeCell ref="O111:S111"/>
    <mergeCell ref="A112:A113"/>
    <mergeCell ref="O112:S112"/>
    <mergeCell ref="O113:S113"/>
    <mergeCell ref="A106:A107"/>
    <mergeCell ref="O106:S106"/>
    <mergeCell ref="O107:S107"/>
    <mergeCell ref="A108:A109"/>
    <mergeCell ref="O108:S108"/>
    <mergeCell ref="O109:S109"/>
    <mergeCell ref="A102:A103"/>
    <mergeCell ref="O102:S102"/>
    <mergeCell ref="O103:S103"/>
    <mergeCell ref="A104:A105"/>
    <mergeCell ref="O104:S104"/>
    <mergeCell ref="O105:S105"/>
    <mergeCell ref="A94:A95"/>
    <mergeCell ref="O94:S94"/>
    <mergeCell ref="O95:S95"/>
    <mergeCell ref="A96:A97"/>
    <mergeCell ref="A98:A99"/>
    <mergeCell ref="A100:A101"/>
    <mergeCell ref="O100:S100"/>
    <mergeCell ref="O101:S101"/>
    <mergeCell ref="A90:A91"/>
    <mergeCell ref="O90:S90"/>
    <mergeCell ref="O91:S91"/>
    <mergeCell ref="A92:A93"/>
    <mergeCell ref="O92:S92"/>
    <mergeCell ref="O93:S93"/>
    <mergeCell ref="A86:A87"/>
    <mergeCell ref="O86:S86"/>
    <mergeCell ref="O87:S87"/>
    <mergeCell ref="A88:A89"/>
    <mergeCell ref="O88:S88"/>
    <mergeCell ref="O89:S89"/>
    <mergeCell ref="A82:A83"/>
    <mergeCell ref="O82:S82"/>
    <mergeCell ref="O83:S83"/>
    <mergeCell ref="A84:A85"/>
    <mergeCell ref="O84:S84"/>
    <mergeCell ref="O85:S85"/>
    <mergeCell ref="A78:A79"/>
    <mergeCell ref="O78:S78"/>
    <mergeCell ref="O79:S79"/>
    <mergeCell ref="A80:A81"/>
    <mergeCell ref="O80:S80"/>
    <mergeCell ref="O81:S81"/>
    <mergeCell ref="A76:B77"/>
    <mergeCell ref="C76:E76"/>
    <mergeCell ref="F76:H76"/>
    <mergeCell ref="I76:K76"/>
    <mergeCell ref="L76:N76"/>
    <mergeCell ref="O76:S77"/>
    <mergeCell ref="A73:B73"/>
    <mergeCell ref="O73:S73"/>
    <mergeCell ref="A74:B74"/>
    <mergeCell ref="O74:S74"/>
    <mergeCell ref="A75:B75"/>
    <mergeCell ref="O75:S75"/>
    <mergeCell ref="A70:B70"/>
    <mergeCell ref="O70:S70"/>
    <mergeCell ref="A71:B71"/>
    <mergeCell ref="O71:S71"/>
    <mergeCell ref="A72:B72"/>
    <mergeCell ref="O72:S72"/>
    <mergeCell ref="A67:B67"/>
    <mergeCell ref="O67:S67"/>
    <mergeCell ref="A68:B68"/>
    <mergeCell ref="O68:S68"/>
    <mergeCell ref="A69:B69"/>
    <mergeCell ref="O69:S69"/>
    <mergeCell ref="A64:B64"/>
    <mergeCell ref="O64:S64"/>
    <mergeCell ref="A65:B65"/>
    <mergeCell ref="O65:S65"/>
    <mergeCell ref="A66:B66"/>
    <mergeCell ref="O66:S66"/>
    <mergeCell ref="A61:B61"/>
    <mergeCell ref="O61:S61"/>
    <mergeCell ref="A62:B62"/>
    <mergeCell ref="O62:S62"/>
    <mergeCell ref="A63:B63"/>
    <mergeCell ref="O63:S63"/>
    <mergeCell ref="A58:B58"/>
    <mergeCell ref="O58:S58"/>
    <mergeCell ref="A59:B59"/>
    <mergeCell ref="O59:S59"/>
    <mergeCell ref="A60:B60"/>
    <mergeCell ref="O60:S60"/>
    <mergeCell ref="A53:B53"/>
    <mergeCell ref="A54:B54"/>
    <mergeCell ref="A55:B55"/>
    <mergeCell ref="A56:B56"/>
    <mergeCell ref="O56:S56"/>
    <mergeCell ref="A57:B57"/>
    <mergeCell ref="O57:S57"/>
    <mergeCell ref="A50:B50"/>
    <mergeCell ref="O50:S50"/>
    <mergeCell ref="A51:B51"/>
    <mergeCell ref="O51:S51"/>
    <mergeCell ref="A52:B52"/>
    <mergeCell ref="O52:S52"/>
    <mergeCell ref="A47:B47"/>
    <mergeCell ref="O47:S47"/>
    <mergeCell ref="A48:B48"/>
    <mergeCell ref="O48:S48"/>
    <mergeCell ref="A49:B49"/>
    <mergeCell ref="O49:S49"/>
    <mergeCell ref="A43:B43"/>
    <mergeCell ref="O43:S43"/>
    <mergeCell ref="A44:B44"/>
    <mergeCell ref="A45:B45"/>
    <mergeCell ref="A46:B46"/>
    <mergeCell ref="O46:S46"/>
    <mergeCell ref="A40:B40"/>
    <mergeCell ref="O40:S40"/>
    <mergeCell ref="A41:B41"/>
    <mergeCell ref="O41:S41"/>
    <mergeCell ref="A42:B42"/>
    <mergeCell ref="O42:S42"/>
    <mergeCell ref="O36:S36"/>
    <mergeCell ref="A37:B37"/>
    <mergeCell ref="O37:S37"/>
    <mergeCell ref="A38:B38"/>
    <mergeCell ref="O38:S38"/>
    <mergeCell ref="A39:B39"/>
    <mergeCell ref="O39:S39"/>
    <mergeCell ref="A29:B29"/>
    <mergeCell ref="A30:B30"/>
    <mergeCell ref="A31:B31"/>
    <mergeCell ref="A32:B32"/>
    <mergeCell ref="A33:B33"/>
    <mergeCell ref="A36:B36"/>
    <mergeCell ref="A24:B24"/>
    <mergeCell ref="O24:S24"/>
    <mergeCell ref="A25:B25"/>
    <mergeCell ref="A26:B26"/>
    <mergeCell ref="A27:B27"/>
    <mergeCell ref="A28:B28"/>
    <mergeCell ref="O20:S22"/>
    <mergeCell ref="C21:E21"/>
    <mergeCell ref="F21:H21"/>
    <mergeCell ref="I21:K21"/>
    <mergeCell ref="L21:N21"/>
    <mergeCell ref="O23:S23"/>
    <mergeCell ref="S14:S19"/>
    <mergeCell ref="A15:B15"/>
    <mergeCell ref="A16:A17"/>
    <mergeCell ref="A18:B18"/>
    <mergeCell ref="A19:B19"/>
    <mergeCell ref="A20:B23"/>
    <mergeCell ref="C20:E20"/>
    <mergeCell ref="F20:H20"/>
    <mergeCell ref="I20:K20"/>
    <mergeCell ref="L20:N20"/>
    <mergeCell ref="A13:F13"/>
    <mergeCell ref="G13:S13"/>
    <mergeCell ref="A14:F14"/>
    <mergeCell ref="G14:G15"/>
    <mergeCell ref="H14:H15"/>
    <mergeCell ref="I14:J14"/>
    <mergeCell ref="K14:L14"/>
    <mergeCell ref="M14:N14"/>
    <mergeCell ref="O14:Q14"/>
    <mergeCell ref="A6:A9"/>
    <mergeCell ref="B6:G6"/>
    <mergeCell ref="H6:M6"/>
    <mergeCell ref="N6:S6"/>
    <mergeCell ref="B7:B9"/>
    <mergeCell ref="C7:C9"/>
    <mergeCell ref="D7:D9"/>
    <mergeCell ref="E7:E9"/>
    <mergeCell ref="F7:F9"/>
    <mergeCell ref="S7:S9"/>
    <mergeCell ref="M7:M9"/>
    <mergeCell ref="N7:N9"/>
    <mergeCell ref="O7:O9"/>
    <mergeCell ref="P7:P9"/>
    <mergeCell ref="Q7:Q9"/>
    <mergeCell ref="R7:R9"/>
    <mergeCell ref="G7:G9"/>
    <mergeCell ref="H7:H9"/>
    <mergeCell ref="I7:I9"/>
    <mergeCell ref="J7:J9"/>
    <mergeCell ref="K7:K9"/>
    <mergeCell ref="L7:L9"/>
    <mergeCell ref="A1:S1"/>
    <mergeCell ref="A2:S2"/>
    <mergeCell ref="A3:S3"/>
    <mergeCell ref="A4:S4"/>
    <mergeCell ref="B5:C5"/>
    <mergeCell ref="E5:F5"/>
    <mergeCell ref="H5:I5"/>
    <mergeCell ref="K5:L5"/>
    <mergeCell ref="M5:N5"/>
    <mergeCell ref="O5:P5"/>
    <mergeCell ref="R5:S5"/>
  </mergeCells>
  <dataValidations count="2">
    <dataValidation type="list" allowBlank="1" showInputMessage="1" showErrorMessage="1" sqref="E5:F5">
      <formula1>DMT</formula1>
    </dataValidation>
    <dataValidation type="list" allowBlank="1" showInputMessage="1" showErrorMessage="1" sqref="B5:C5">
      <formula1>Statelist</formula1>
    </dataValidation>
  </dataValidations>
  <pageMargins left="0.2" right="0" top="0.14000000000000001" bottom="0" header="0.17" footer="0"/>
  <pageSetup paperSize="9" scale="49" orientation="landscape" r:id="rId1"/>
  <rowBreaks count="3" manualBreakCount="3">
    <brk id="41" max="16" man="1"/>
    <brk id="92" max="16" man="1"/>
    <brk id="148" max="1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J738"/>
  <sheetViews>
    <sheetView zoomScale="55" zoomScaleNormal="55" zoomScaleSheetLayoutView="55" workbookViewId="0">
      <selection activeCell="C15" sqref="C15"/>
    </sheetView>
  </sheetViews>
  <sheetFormatPr defaultColWidth="9.140625" defaultRowHeight="15"/>
  <cols>
    <col min="1" max="1" width="27.42578125" style="39" customWidth="1"/>
    <col min="2" max="2" width="13.85546875" style="39" customWidth="1"/>
    <col min="3" max="3" width="15.140625" style="39" customWidth="1"/>
    <col min="4" max="4" width="16.7109375" style="39" customWidth="1"/>
    <col min="5" max="6" width="14.5703125" style="39" customWidth="1"/>
    <col min="7" max="7" width="18.28515625" style="39" customWidth="1"/>
    <col min="8" max="8" width="14.42578125" style="39" customWidth="1"/>
    <col min="9" max="9" width="13.140625" style="39" customWidth="1"/>
    <col min="10" max="10" width="18" style="39" customWidth="1"/>
    <col min="11" max="11" width="16.140625" style="39" customWidth="1"/>
    <col min="12" max="12" width="17" style="39" customWidth="1"/>
    <col min="13" max="13" width="14" style="39" customWidth="1"/>
    <col min="14" max="14" width="14.42578125" style="39" customWidth="1"/>
    <col min="15" max="15" width="13.140625" style="39" customWidth="1"/>
    <col min="16" max="16" width="15.42578125" style="39" customWidth="1"/>
    <col min="17" max="18" width="14" style="39" customWidth="1"/>
    <col min="19" max="19" width="12.42578125" style="39" customWidth="1"/>
    <col min="20" max="23" width="9.140625" style="38"/>
    <col min="24" max="24" width="12.42578125" style="38" customWidth="1"/>
    <col min="25" max="25" width="10.85546875" style="38" customWidth="1"/>
    <col min="26" max="41" width="9.140625" style="38"/>
    <col min="42" max="43" width="9.140625" style="39"/>
    <col min="44" max="44" width="19.28515625" style="39" hidden="1" customWidth="1"/>
    <col min="45" max="45" width="28.7109375" style="39" hidden="1" customWidth="1"/>
    <col min="46" max="46" width="24.85546875" style="39" hidden="1" customWidth="1"/>
    <col min="47" max="49" width="9.140625" style="39" hidden="1" customWidth="1"/>
    <col min="50" max="50" width="9.140625" style="39" customWidth="1"/>
    <col min="51" max="55" width="9.140625" style="38"/>
    <col min="56" max="61" width="9.140625" style="39"/>
    <col min="62" max="62" width="9.140625" style="39" customWidth="1"/>
    <col min="63" max="16384" width="9.140625" style="39"/>
  </cols>
  <sheetData>
    <row r="1" spans="1:55" ht="27" customHeight="1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2"/>
      <c r="AS1" s="38" t="s">
        <v>148</v>
      </c>
      <c r="AT1" s="38" t="s">
        <v>114</v>
      </c>
      <c r="AU1" s="38"/>
      <c r="AV1" s="38" t="s">
        <v>148</v>
      </c>
      <c r="AW1" s="38" t="s">
        <v>114</v>
      </c>
      <c r="AX1" s="38"/>
    </row>
    <row r="2" spans="1:55" ht="27" customHeight="1">
      <c r="A2" s="243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5"/>
      <c r="AR2" s="38" t="s">
        <v>889</v>
      </c>
      <c r="AS2" s="40" t="s">
        <v>149</v>
      </c>
      <c r="AT2" s="41" t="s">
        <v>150</v>
      </c>
      <c r="AU2" s="38"/>
      <c r="AV2" s="38"/>
      <c r="AW2" s="38" t="e">
        <f ca="1">SUM(OFFSET(AS1,MATCH($B5,$AS:$AS,0)-1,1,COUNTIF($AS:$AS,$B5),1))</f>
        <v>#N/A</v>
      </c>
      <c r="AX2" s="38"/>
    </row>
    <row r="3" spans="1:55" ht="27.75" customHeight="1">
      <c r="A3" s="246" t="s">
        <v>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8"/>
      <c r="AR3" s="38" t="s">
        <v>149</v>
      </c>
      <c r="AS3" s="40" t="s">
        <v>149</v>
      </c>
      <c r="AT3" s="41" t="s">
        <v>151</v>
      </c>
      <c r="AU3" s="38"/>
      <c r="AV3" s="38"/>
      <c r="AW3" s="38"/>
      <c r="AX3" s="38"/>
    </row>
    <row r="4" spans="1:55" ht="29.25" customHeight="1">
      <c r="A4" s="249" t="s">
        <v>86</v>
      </c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1"/>
      <c r="R4" s="251"/>
      <c r="S4" s="252"/>
      <c r="AR4" s="38" t="s">
        <v>153</v>
      </c>
      <c r="AS4" s="40" t="s">
        <v>149</v>
      </c>
      <c r="AT4" s="41" t="s">
        <v>152</v>
      </c>
      <c r="AU4" s="38"/>
      <c r="AV4" s="38"/>
      <c r="AW4" s="38"/>
      <c r="AX4" s="38"/>
    </row>
    <row r="5" spans="1:55" ht="39.75" customHeight="1">
      <c r="A5" s="110" t="s">
        <v>101</v>
      </c>
      <c r="B5" s="253" t="s">
        <v>889</v>
      </c>
      <c r="C5" s="253"/>
      <c r="D5" s="111" t="s">
        <v>114</v>
      </c>
      <c r="E5" s="254"/>
      <c r="F5" s="254"/>
      <c r="G5" s="112" t="s">
        <v>81</v>
      </c>
      <c r="H5" s="255"/>
      <c r="I5" s="255"/>
      <c r="J5" s="113" t="s">
        <v>144</v>
      </c>
      <c r="K5" s="256"/>
      <c r="L5" s="257"/>
      <c r="M5" s="258" t="s">
        <v>3</v>
      </c>
      <c r="N5" s="258"/>
      <c r="O5" s="413"/>
      <c r="P5" s="260"/>
      <c r="Q5" s="114" t="s">
        <v>82</v>
      </c>
      <c r="R5" s="261"/>
      <c r="S5" s="262"/>
      <c r="AR5" s="38" t="s">
        <v>167</v>
      </c>
      <c r="AS5" s="42" t="s">
        <v>153</v>
      </c>
      <c r="AT5" s="43" t="s">
        <v>154</v>
      </c>
      <c r="AU5" s="38"/>
      <c r="AV5" s="38"/>
      <c r="AW5" s="38"/>
      <c r="AX5" s="38"/>
    </row>
    <row r="6" spans="1:55" s="37" customFormat="1" ht="31.5" customHeight="1">
      <c r="A6" s="263"/>
      <c r="B6" s="264" t="s">
        <v>90</v>
      </c>
      <c r="C6" s="264"/>
      <c r="D6" s="264"/>
      <c r="E6" s="264"/>
      <c r="F6" s="264"/>
      <c r="G6" s="264"/>
      <c r="H6" s="265" t="s">
        <v>91</v>
      </c>
      <c r="I6" s="265"/>
      <c r="J6" s="265"/>
      <c r="K6" s="265"/>
      <c r="L6" s="265"/>
      <c r="M6" s="265"/>
      <c r="N6" s="266" t="s">
        <v>4</v>
      </c>
      <c r="O6" s="266"/>
      <c r="P6" s="266"/>
      <c r="Q6" s="267"/>
      <c r="R6" s="267"/>
      <c r="S6" s="26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R6" s="38" t="s">
        <v>189</v>
      </c>
      <c r="AS6" s="42" t="s">
        <v>153</v>
      </c>
      <c r="AT6" s="43" t="s">
        <v>155</v>
      </c>
      <c r="AU6" s="38"/>
      <c r="AV6" s="38"/>
      <c r="AW6" s="38"/>
      <c r="AX6" s="38"/>
      <c r="AY6" s="38"/>
      <c r="AZ6" s="38"/>
      <c r="BA6" s="38"/>
      <c r="BB6" s="38"/>
      <c r="BC6" s="38"/>
    </row>
    <row r="7" spans="1:55" s="44" customFormat="1" ht="22.5" customHeight="1">
      <c r="A7" s="263"/>
      <c r="B7" s="269" t="s">
        <v>83</v>
      </c>
      <c r="C7" s="269" t="s">
        <v>5</v>
      </c>
      <c r="D7" s="269" t="s">
        <v>6</v>
      </c>
      <c r="E7" s="269" t="s">
        <v>7</v>
      </c>
      <c r="F7" s="269" t="s">
        <v>8</v>
      </c>
      <c r="G7" s="269" t="s">
        <v>9</v>
      </c>
      <c r="H7" s="271" t="s">
        <v>10</v>
      </c>
      <c r="I7" s="271" t="s">
        <v>11</v>
      </c>
      <c r="J7" s="271" t="s">
        <v>12</v>
      </c>
      <c r="K7" s="271" t="s">
        <v>7</v>
      </c>
      <c r="L7" s="271" t="s">
        <v>13</v>
      </c>
      <c r="M7" s="271" t="s">
        <v>9</v>
      </c>
      <c r="N7" s="270" t="s">
        <v>10</v>
      </c>
      <c r="O7" s="270" t="s">
        <v>11</v>
      </c>
      <c r="P7" s="270" t="s">
        <v>12</v>
      </c>
      <c r="Q7" s="272" t="s">
        <v>7</v>
      </c>
      <c r="R7" s="270" t="s">
        <v>13</v>
      </c>
      <c r="S7" s="270" t="s">
        <v>9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R7" s="38" t="s">
        <v>223</v>
      </c>
      <c r="AS7" s="42" t="s">
        <v>153</v>
      </c>
      <c r="AT7" s="43" t="s">
        <v>156</v>
      </c>
      <c r="AU7" s="38"/>
      <c r="AV7" s="38"/>
      <c r="AW7" s="38"/>
      <c r="AX7" s="38"/>
      <c r="AY7" s="38"/>
      <c r="AZ7" s="38"/>
      <c r="BA7" s="38"/>
      <c r="BB7" s="38"/>
      <c r="BC7" s="38"/>
    </row>
    <row r="8" spans="1:55" s="44" customFormat="1" ht="12.75" customHeight="1">
      <c r="A8" s="263"/>
      <c r="B8" s="269"/>
      <c r="C8" s="269"/>
      <c r="D8" s="269"/>
      <c r="E8" s="269"/>
      <c r="F8" s="269"/>
      <c r="G8" s="269"/>
      <c r="H8" s="271"/>
      <c r="I8" s="271"/>
      <c r="J8" s="271"/>
      <c r="K8" s="271"/>
      <c r="L8" s="271"/>
      <c r="M8" s="271"/>
      <c r="N8" s="270"/>
      <c r="O8" s="270"/>
      <c r="P8" s="270"/>
      <c r="Q8" s="272"/>
      <c r="R8" s="270"/>
      <c r="S8" s="27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R8" s="38" t="s">
        <v>262</v>
      </c>
      <c r="AS8" s="42" t="s">
        <v>153</v>
      </c>
      <c r="AT8" s="43" t="s">
        <v>157</v>
      </c>
      <c r="AU8" s="38"/>
      <c r="AV8" s="38"/>
      <c r="AW8" s="38"/>
      <c r="AX8" s="38"/>
      <c r="AY8" s="38"/>
      <c r="AZ8" s="38"/>
      <c r="BA8" s="38"/>
      <c r="BB8" s="38"/>
      <c r="BC8" s="38"/>
    </row>
    <row r="9" spans="1:55" s="44" customFormat="1" ht="75.75" customHeight="1">
      <c r="A9" s="263"/>
      <c r="B9" s="269"/>
      <c r="C9" s="269"/>
      <c r="D9" s="269"/>
      <c r="E9" s="269"/>
      <c r="F9" s="269"/>
      <c r="G9" s="269"/>
      <c r="H9" s="271"/>
      <c r="I9" s="271"/>
      <c r="J9" s="271"/>
      <c r="K9" s="271"/>
      <c r="L9" s="271"/>
      <c r="M9" s="271"/>
      <c r="N9" s="270"/>
      <c r="O9" s="270"/>
      <c r="P9" s="270"/>
      <c r="Q9" s="272"/>
      <c r="R9" s="270"/>
      <c r="S9" s="27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R9" s="38" t="s">
        <v>263</v>
      </c>
      <c r="AS9" s="42" t="s">
        <v>153</v>
      </c>
      <c r="AT9" s="43" t="s">
        <v>158</v>
      </c>
      <c r="AU9" s="38"/>
      <c r="AV9" s="38"/>
      <c r="AW9" s="38"/>
      <c r="AX9" s="38"/>
      <c r="AY9" s="38"/>
      <c r="AZ9" s="38"/>
      <c r="BA9" s="38"/>
      <c r="BB9" s="38"/>
      <c r="BC9" s="38"/>
    </row>
    <row r="10" spans="1:55" s="44" customFormat="1" ht="19.5" customHeight="1">
      <c r="A10" s="4" t="s">
        <v>15</v>
      </c>
      <c r="B10" s="1"/>
      <c r="C10" s="1">
        <f>C23</f>
        <v>0</v>
      </c>
      <c r="D10" s="1"/>
      <c r="E10" s="82" t="e">
        <f>D10/B10</f>
        <v>#DIV/0!</v>
      </c>
      <c r="F10" s="1"/>
      <c r="G10" s="1">
        <f>SUM(C182:E182)</f>
        <v>0</v>
      </c>
      <c r="H10" s="1"/>
      <c r="I10" s="1">
        <f>F23</f>
        <v>0</v>
      </c>
      <c r="J10" s="1"/>
      <c r="K10" s="82" t="e">
        <f>J10/H10</f>
        <v>#DIV/0!</v>
      </c>
      <c r="L10" s="1"/>
      <c r="M10" s="1">
        <f>SUM(F182:H182)</f>
        <v>0</v>
      </c>
      <c r="N10" s="1"/>
      <c r="O10" s="1">
        <f>I23</f>
        <v>0</v>
      </c>
      <c r="P10" s="1"/>
      <c r="Q10" s="83" t="e">
        <f>P10/N10</f>
        <v>#DIV/0!</v>
      </c>
      <c r="R10" s="10"/>
      <c r="S10" s="10">
        <f>SUM(I182:K182)</f>
        <v>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R10" s="38" t="s">
        <v>291</v>
      </c>
      <c r="AS10" s="42" t="s">
        <v>153</v>
      </c>
      <c r="AT10" s="43" t="s">
        <v>159</v>
      </c>
      <c r="AU10" s="38"/>
      <c r="AV10" s="38"/>
      <c r="AW10" s="38"/>
      <c r="AX10" s="38"/>
      <c r="AY10" s="38"/>
      <c r="AZ10" s="38"/>
      <c r="BA10" s="38"/>
      <c r="BB10" s="38"/>
      <c r="BC10" s="38"/>
    </row>
    <row r="11" spans="1:55" s="44" customFormat="1" ht="19.5" customHeight="1">
      <c r="A11" s="4" t="s">
        <v>16</v>
      </c>
      <c r="B11" s="1"/>
      <c r="C11" s="1">
        <f>D24</f>
        <v>0</v>
      </c>
      <c r="D11" s="1"/>
      <c r="E11" s="82" t="e">
        <f t="shared" ref="E11:E12" si="0">D11/B11</f>
        <v>#DIV/0!</v>
      </c>
      <c r="F11" s="1"/>
      <c r="G11" s="1">
        <f>SUM(C183:E183)</f>
        <v>0</v>
      </c>
      <c r="H11" s="1"/>
      <c r="I11" s="1">
        <f>G23</f>
        <v>0</v>
      </c>
      <c r="J11" s="1"/>
      <c r="K11" s="82" t="e">
        <f t="shared" ref="K11:K12" si="1">J11/H11</f>
        <v>#DIV/0!</v>
      </c>
      <c r="L11" s="1"/>
      <c r="M11" s="1">
        <f>SUM(F183:H183)</f>
        <v>0</v>
      </c>
      <c r="N11" s="1"/>
      <c r="O11" s="1">
        <f>J23</f>
        <v>0</v>
      </c>
      <c r="P11" s="1"/>
      <c r="Q11" s="83" t="e">
        <f t="shared" ref="Q11:Q12" si="2">P11/N11</f>
        <v>#DIV/0!</v>
      </c>
      <c r="R11" s="10"/>
      <c r="S11" s="10">
        <f>SUM(I183:K183)</f>
        <v>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R11" s="38" t="s">
        <v>293</v>
      </c>
      <c r="AS11" s="42" t="s">
        <v>153</v>
      </c>
      <c r="AT11" s="43" t="s">
        <v>160</v>
      </c>
      <c r="AU11" s="38"/>
      <c r="AV11" s="38"/>
      <c r="AW11" s="38"/>
      <c r="AX11" s="38"/>
      <c r="AY11" s="38"/>
      <c r="AZ11" s="38"/>
      <c r="BA11" s="38"/>
      <c r="BB11" s="38"/>
      <c r="BC11" s="38"/>
    </row>
    <row r="12" spans="1:55" s="44" customFormat="1" ht="19.5" customHeight="1">
      <c r="A12" s="4" t="s">
        <v>17</v>
      </c>
      <c r="B12" s="152">
        <f>SUM(B10:B11)</f>
        <v>0</v>
      </c>
      <c r="C12" s="152">
        <f t="shared" ref="C12:P12" si="3">SUM(C10:C11)</f>
        <v>0</v>
      </c>
      <c r="D12" s="152">
        <f t="shared" si="3"/>
        <v>0</v>
      </c>
      <c r="E12" s="153" t="e">
        <f t="shared" si="0"/>
        <v>#DIV/0!</v>
      </c>
      <c r="F12" s="152">
        <f t="shared" si="3"/>
        <v>0</v>
      </c>
      <c r="G12" s="152">
        <f t="shared" si="3"/>
        <v>0</v>
      </c>
      <c r="H12" s="152">
        <f t="shared" si="3"/>
        <v>0</v>
      </c>
      <c r="I12" s="152">
        <f t="shared" si="3"/>
        <v>0</v>
      </c>
      <c r="J12" s="152">
        <f t="shared" si="3"/>
        <v>0</v>
      </c>
      <c r="K12" s="153" t="e">
        <f t="shared" si="1"/>
        <v>#DIV/0!</v>
      </c>
      <c r="L12" s="152">
        <f t="shared" si="3"/>
        <v>0</v>
      </c>
      <c r="M12" s="152">
        <f t="shared" si="3"/>
        <v>0</v>
      </c>
      <c r="N12" s="152">
        <f t="shared" si="3"/>
        <v>0</v>
      </c>
      <c r="O12" s="152">
        <f t="shared" si="3"/>
        <v>0</v>
      </c>
      <c r="P12" s="152">
        <f t="shared" si="3"/>
        <v>0</v>
      </c>
      <c r="Q12" s="154" t="e">
        <f t="shared" si="2"/>
        <v>#DIV/0!</v>
      </c>
      <c r="R12" s="152">
        <f>SUM(R10:R11)</f>
        <v>0</v>
      </c>
      <c r="S12" s="152">
        <f>SUM(S10:S11)</f>
        <v>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R12" s="38" t="s">
        <v>296</v>
      </c>
      <c r="AS12" s="42" t="s">
        <v>153</v>
      </c>
      <c r="AT12" s="43" t="s">
        <v>161</v>
      </c>
      <c r="AU12" s="38"/>
      <c r="AV12" s="38"/>
      <c r="AW12" s="38"/>
      <c r="AX12" s="38"/>
      <c r="AY12" s="38"/>
      <c r="AZ12" s="38"/>
      <c r="BA12" s="38"/>
      <c r="BB12" s="38"/>
      <c r="BC12" s="38"/>
    </row>
    <row r="13" spans="1:55" s="45" customFormat="1" ht="20.25">
      <c r="A13" s="273" t="s">
        <v>111</v>
      </c>
      <c r="B13" s="274"/>
      <c r="C13" s="274"/>
      <c r="D13" s="274"/>
      <c r="E13" s="274"/>
      <c r="F13" s="274"/>
      <c r="G13" s="275" t="s">
        <v>132</v>
      </c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7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R13" s="38" t="s">
        <v>308</v>
      </c>
      <c r="AS13" s="42" t="s">
        <v>153</v>
      </c>
      <c r="AT13" s="43" t="s">
        <v>162</v>
      </c>
      <c r="AU13" s="38"/>
      <c r="AV13" s="38"/>
      <c r="AW13" s="38"/>
      <c r="AX13" s="38"/>
      <c r="AY13" s="38"/>
      <c r="AZ13" s="38"/>
      <c r="BA13" s="38"/>
      <c r="BB13" s="38"/>
      <c r="BC13" s="38"/>
    </row>
    <row r="14" spans="1:55" s="45" customFormat="1" ht="15" customHeight="1">
      <c r="A14" s="278"/>
      <c r="B14" s="279"/>
      <c r="C14" s="279"/>
      <c r="D14" s="279"/>
      <c r="E14" s="279"/>
      <c r="F14" s="279"/>
      <c r="G14" s="280" t="s">
        <v>103</v>
      </c>
      <c r="H14" s="281" t="s">
        <v>104</v>
      </c>
      <c r="I14" s="282" t="s">
        <v>18</v>
      </c>
      <c r="J14" s="282"/>
      <c r="K14" s="283" t="s">
        <v>19</v>
      </c>
      <c r="L14" s="283"/>
      <c r="M14" s="283" t="s">
        <v>20</v>
      </c>
      <c r="N14" s="283"/>
      <c r="O14" s="284" t="s">
        <v>92</v>
      </c>
      <c r="P14" s="284"/>
      <c r="Q14" s="284"/>
      <c r="R14" s="168"/>
      <c r="S14" s="303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R14" s="38" t="s">
        <v>311</v>
      </c>
      <c r="AS14" s="42" t="s">
        <v>153</v>
      </c>
      <c r="AT14" s="43" t="s">
        <v>163</v>
      </c>
      <c r="AU14" s="38"/>
      <c r="AV14" s="38"/>
      <c r="AW14" s="38"/>
      <c r="AX14" s="38"/>
      <c r="AY14" s="38"/>
      <c r="AZ14" s="38"/>
      <c r="BA14" s="38"/>
      <c r="BB14" s="38"/>
      <c r="BC14" s="38"/>
    </row>
    <row r="15" spans="1:55" s="45" customFormat="1" ht="97.5" customHeight="1">
      <c r="A15" s="306"/>
      <c r="B15" s="307"/>
      <c r="C15" s="115" t="s">
        <v>107</v>
      </c>
      <c r="D15" s="115" t="s">
        <v>108</v>
      </c>
      <c r="E15" s="115" t="s">
        <v>109</v>
      </c>
      <c r="F15" s="115" t="s">
        <v>110</v>
      </c>
      <c r="G15" s="280"/>
      <c r="H15" s="281"/>
      <c r="I15" s="166" t="s">
        <v>15</v>
      </c>
      <c r="J15" s="166" t="s">
        <v>16</v>
      </c>
      <c r="K15" s="166" t="s">
        <v>15</v>
      </c>
      <c r="L15" s="166" t="s">
        <v>16</v>
      </c>
      <c r="M15" s="166" t="s">
        <v>15</v>
      </c>
      <c r="N15" s="166" t="s">
        <v>16</v>
      </c>
      <c r="O15" s="167" t="s">
        <v>18</v>
      </c>
      <c r="P15" s="167" t="s">
        <v>19</v>
      </c>
      <c r="Q15" s="167" t="s">
        <v>93</v>
      </c>
      <c r="R15" s="169"/>
      <c r="S15" s="30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R15" s="38" t="s">
        <v>345</v>
      </c>
      <c r="AS15" s="42" t="s">
        <v>153</v>
      </c>
      <c r="AT15" s="46" t="s">
        <v>164</v>
      </c>
      <c r="AU15" s="38"/>
      <c r="AV15" s="38"/>
      <c r="AW15" s="38"/>
      <c r="AX15" s="38"/>
      <c r="AY15" s="38"/>
      <c r="AZ15" s="38"/>
      <c r="BA15" s="38"/>
      <c r="BB15" s="38"/>
      <c r="BC15" s="38"/>
    </row>
    <row r="16" spans="1:55" s="45" customFormat="1" ht="15" customHeight="1">
      <c r="A16" s="308" t="s">
        <v>113</v>
      </c>
      <c r="B16" s="166" t="s">
        <v>22</v>
      </c>
      <c r="C16" s="23"/>
      <c r="D16" s="23"/>
      <c r="E16" s="23"/>
      <c r="F16" s="23"/>
      <c r="G16" s="165" t="s">
        <v>21</v>
      </c>
      <c r="H16" s="24"/>
      <c r="I16" s="24"/>
      <c r="J16" s="24"/>
      <c r="K16" s="2"/>
      <c r="L16" s="2"/>
      <c r="M16" s="2"/>
      <c r="N16" s="2"/>
      <c r="O16" s="155">
        <f>SUM(I16:J16)</f>
        <v>0</v>
      </c>
      <c r="P16" s="155">
        <f>SUM(K16:L16)</f>
        <v>0</v>
      </c>
      <c r="Q16" s="155">
        <f>SUM(M16:N16)</f>
        <v>0</v>
      </c>
      <c r="R16" s="84"/>
      <c r="S16" s="304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R16" s="38" t="s">
        <v>368</v>
      </c>
      <c r="AS16" s="42" t="s">
        <v>153</v>
      </c>
      <c r="AT16" s="43" t="s">
        <v>165</v>
      </c>
      <c r="AU16" s="38"/>
      <c r="AV16" s="38"/>
      <c r="AW16" s="38"/>
      <c r="AX16" s="38"/>
      <c r="AY16" s="38"/>
      <c r="AZ16" s="38"/>
      <c r="BA16" s="38"/>
      <c r="BB16" s="38"/>
      <c r="BC16" s="38"/>
    </row>
    <row r="17" spans="1:374" s="45" customFormat="1" ht="15" customHeight="1">
      <c r="A17" s="308"/>
      <c r="B17" s="166" t="s">
        <v>24</v>
      </c>
      <c r="C17" s="23"/>
      <c r="D17" s="23"/>
      <c r="E17" s="23"/>
      <c r="F17" s="23"/>
      <c r="G17" s="170" t="s">
        <v>23</v>
      </c>
      <c r="H17" s="25"/>
      <c r="I17" s="25"/>
      <c r="J17" s="23"/>
      <c r="K17" s="23"/>
      <c r="L17" s="2"/>
      <c r="M17" s="2"/>
      <c r="N17" s="2"/>
      <c r="O17" s="155">
        <f t="shared" ref="O17:O19" si="4">SUM(I17:J17)</f>
        <v>0</v>
      </c>
      <c r="P17" s="155">
        <f t="shared" ref="P17:P19" si="5">SUM(K17:L17)</f>
        <v>0</v>
      </c>
      <c r="Q17" s="155">
        <f t="shared" ref="Q17:Q19" si="6">SUM(M17:N17)</f>
        <v>0</v>
      </c>
      <c r="R17" s="84"/>
      <c r="S17" s="304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R17" s="38" t="s">
        <v>381</v>
      </c>
      <c r="AS17" s="42" t="s">
        <v>153</v>
      </c>
      <c r="AT17" s="43" t="s">
        <v>166</v>
      </c>
      <c r="AU17" s="38"/>
      <c r="AV17" s="38"/>
      <c r="AW17" s="38"/>
      <c r="AX17" s="38"/>
      <c r="AY17" s="38"/>
      <c r="AZ17" s="38"/>
      <c r="BA17" s="38"/>
      <c r="BB17" s="38"/>
      <c r="BC17" s="38"/>
    </row>
    <row r="18" spans="1:374" s="45" customFormat="1">
      <c r="A18" s="309" t="s">
        <v>26</v>
      </c>
      <c r="B18" s="310"/>
      <c r="C18" s="23"/>
      <c r="D18" s="23"/>
      <c r="E18" s="23"/>
      <c r="F18" s="23"/>
      <c r="G18" s="8" t="s">
        <v>25</v>
      </c>
      <c r="H18" s="26"/>
      <c r="I18" s="26"/>
      <c r="J18" s="26"/>
      <c r="K18" s="9"/>
      <c r="L18" s="9"/>
      <c r="M18" s="9"/>
      <c r="N18" s="9"/>
      <c r="O18" s="155">
        <f t="shared" si="4"/>
        <v>0</v>
      </c>
      <c r="P18" s="155">
        <f t="shared" si="5"/>
        <v>0</v>
      </c>
      <c r="Q18" s="155">
        <f t="shared" si="6"/>
        <v>0</v>
      </c>
      <c r="R18" s="84"/>
      <c r="S18" s="304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R18" s="38" t="s">
        <v>404</v>
      </c>
      <c r="AS18" s="40" t="s">
        <v>167</v>
      </c>
      <c r="AT18" s="41" t="s">
        <v>168</v>
      </c>
      <c r="AU18" s="38"/>
      <c r="AV18" s="38"/>
      <c r="AW18" s="38"/>
      <c r="AX18" s="38"/>
      <c r="AY18" s="38"/>
      <c r="AZ18" s="38"/>
      <c r="BA18" s="38"/>
      <c r="BB18" s="38"/>
      <c r="BC18" s="38"/>
    </row>
    <row r="19" spans="1:374" s="45" customFormat="1" ht="23.25" customHeight="1">
      <c r="A19" s="311"/>
      <c r="B19" s="312"/>
      <c r="C19" s="128"/>
      <c r="D19" s="128"/>
      <c r="E19" s="128"/>
      <c r="F19" s="128"/>
      <c r="G19" s="116" t="s">
        <v>133</v>
      </c>
      <c r="H19" s="26"/>
      <c r="I19" s="26"/>
      <c r="J19" s="26"/>
      <c r="K19" s="9"/>
      <c r="L19" s="9"/>
      <c r="M19" s="9"/>
      <c r="N19" s="9"/>
      <c r="O19" s="155">
        <f t="shared" si="4"/>
        <v>0</v>
      </c>
      <c r="P19" s="155">
        <f t="shared" si="5"/>
        <v>0</v>
      </c>
      <c r="Q19" s="155">
        <f t="shared" si="6"/>
        <v>0</v>
      </c>
      <c r="R19" s="85"/>
      <c r="S19" s="305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R19" s="38" t="s">
        <v>429</v>
      </c>
      <c r="AS19" s="40" t="s">
        <v>167</v>
      </c>
      <c r="AT19" s="41" t="s">
        <v>169</v>
      </c>
      <c r="AU19" s="38"/>
      <c r="AV19" s="38"/>
      <c r="AW19" s="38"/>
      <c r="AX19" s="38"/>
      <c r="AY19" s="38"/>
      <c r="AZ19" s="38"/>
      <c r="BA19" s="38"/>
      <c r="BB19" s="38"/>
      <c r="BC19" s="38"/>
    </row>
    <row r="20" spans="1:374" s="45" customFormat="1" ht="22.5" customHeight="1">
      <c r="A20" s="313" t="s">
        <v>147</v>
      </c>
      <c r="B20" s="314"/>
      <c r="C20" s="319" t="s">
        <v>89</v>
      </c>
      <c r="D20" s="320"/>
      <c r="E20" s="321"/>
      <c r="F20" s="322" t="s">
        <v>105</v>
      </c>
      <c r="G20" s="322"/>
      <c r="H20" s="322"/>
      <c r="I20" s="323" t="s">
        <v>106</v>
      </c>
      <c r="J20" s="323"/>
      <c r="K20" s="323"/>
      <c r="L20" s="299" t="s">
        <v>115</v>
      </c>
      <c r="M20" s="299"/>
      <c r="N20" s="299"/>
      <c r="O20" s="285" t="s">
        <v>131</v>
      </c>
      <c r="P20" s="286"/>
      <c r="Q20" s="286"/>
      <c r="R20" s="286"/>
      <c r="S20" s="287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R20" s="38" t="s">
        <v>459</v>
      </c>
      <c r="AS20" s="40" t="s">
        <v>167</v>
      </c>
      <c r="AT20" s="41" t="s">
        <v>170</v>
      </c>
      <c r="AU20" s="38"/>
      <c r="AV20" s="38"/>
      <c r="AW20" s="38"/>
      <c r="AX20" s="38"/>
      <c r="AY20" s="38"/>
      <c r="AZ20" s="38"/>
      <c r="BA20" s="38"/>
      <c r="BB20" s="38"/>
      <c r="BC20" s="38"/>
    </row>
    <row r="21" spans="1:374" s="45" customFormat="1" ht="31.5" customHeight="1">
      <c r="A21" s="315"/>
      <c r="B21" s="316"/>
      <c r="C21" s="294" t="s">
        <v>112</v>
      </c>
      <c r="D21" s="295"/>
      <c r="E21" s="296"/>
      <c r="F21" s="297" t="s">
        <v>112</v>
      </c>
      <c r="G21" s="297"/>
      <c r="H21" s="297"/>
      <c r="I21" s="298" t="s">
        <v>112</v>
      </c>
      <c r="J21" s="298"/>
      <c r="K21" s="298"/>
      <c r="L21" s="299" t="s">
        <v>112</v>
      </c>
      <c r="M21" s="299"/>
      <c r="N21" s="299"/>
      <c r="O21" s="288"/>
      <c r="P21" s="289"/>
      <c r="Q21" s="289"/>
      <c r="R21" s="289"/>
      <c r="S21" s="290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R21" s="38" t="s">
        <v>474</v>
      </c>
      <c r="AS21" s="40" t="s">
        <v>167</v>
      </c>
      <c r="AT21" s="41" t="s">
        <v>171</v>
      </c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374" s="45" customFormat="1" ht="36" customHeight="1">
      <c r="A22" s="315"/>
      <c r="B22" s="316"/>
      <c r="C22" s="117" t="s">
        <v>15</v>
      </c>
      <c r="D22" s="117" t="s">
        <v>16</v>
      </c>
      <c r="E22" s="117" t="s">
        <v>17</v>
      </c>
      <c r="F22" s="118" t="s">
        <v>15</v>
      </c>
      <c r="G22" s="118" t="s">
        <v>16</v>
      </c>
      <c r="H22" s="118" t="s">
        <v>17</v>
      </c>
      <c r="I22" s="119" t="s">
        <v>15</v>
      </c>
      <c r="J22" s="119" t="s">
        <v>16</v>
      </c>
      <c r="K22" s="119" t="s">
        <v>17</v>
      </c>
      <c r="L22" s="120" t="s">
        <v>15</v>
      </c>
      <c r="M22" s="120" t="s">
        <v>16</v>
      </c>
      <c r="N22" s="120" t="s">
        <v>17</v>
      </c>
      <c r="O22" s="291"/>
      <c r="P22" s="292"/>
      <c r="Q22" s="292"/>
      <c r="R22" s="292"/>
      <c r="S22" s="293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R22" s="38" t="s">
        <v>475</v>
      </c>
      <c r="AS22" s="40" t="s">
        <v>167</v>
      </c>
      <c r="AT22" s="41" t="s">
        <v>172</v>
      </c>
      <c r="AU22" s="38"/>
      <c r="AV22" s="38"/>
      <c r="AW22" s="38"/>
      <c r="AX22" s="38"/>
      <c r="AY22" s="38"/>
      <c r="AZ22" s="38"/>
      <c r="BA22" s="38"/>
      <c r="BB22" s="38"/>
      <c r="BC22" s="38"/>
    </row>
    <row r="23" spans="1:374" s="45" customFormat="1" ht="29.25" customHeight="1">
      <c r="A23" s="317"/>
      <c r="B23" s="318"/>
      <c r="C23" s="27"/>
      <c r="D23" s="27"/>
      <c r="E23" s="138">
        <f>SUM(C23:D23)</f>
        <v>0</v>
      </c>
      <c r="F23" s="28"/>
      <c r="G23" s="28"/>
      <c r="H23" s="140">
        <f>SUM(F23:G23)</f>
        <v>0</v>
      </c>
      <c r="I23" s="29"/>
      <c r="J23" s="29"/>
      <c r="K23" s="143">
        <f>SUM(I23:J23)</f>
        <v>0</v>
      </c>
      <c r="L23" s="123">
        <f>SUM(C23,F23,I23)</f>
        <v>0</v>
      </c>
      <c r="M23" s="123">
        <f>SUM(D23,G23,J23)</f>
        <v>0</v>
      </c>
      <c r="N23" s="124">
        <f>SUM(L23:M23)</f>
        <v>0</v>
      </c>
      <c r="O23" s="300"/>
      <c r="P23" s="301"/>
      <c r="Q23" s="301"/>
      <c r="R23" s="301"/>
      <c r="S23" s="302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R23" s="38" t="s">
        <v>527</v>
      </c>
      <c r="AS23" s="40" t="s">
        <v>167</v>
      </c>
      <c r="AT23" s="41" t="s">
        <v>173</v>
      </c>
      <c r="AU23" s="38"/>
      <c r="AV23" s="38"/>
      <c r="AW23" s="38"/>
      <c r="AX23" s="38"/>
      <c r="AY23" s="38"/>
      <c r="AZ23" s="38"/>
      <c r="BA23" s="38"/>
      <c r="BB23" s="38"/>
      <c r="BC23" s="38"/>
    </row>
    <row r="24" spans="1:374" s="45" customFormat="1" ht="25.5" customHeight="1">
      <c r="A24" s="328" t="s">
        <v>30</v>
      </c>
      <c r="B24" s="329"/>
      <c r="C24" s="16">
        <f>SUM(C25:C35)</f>
        <v>0</v>
      </c>
      <c r="D24" s="16">
        <f>SUM(D25:D35)</f>
        <v>0</v>
      </c>
      <c r="E24" s="16">
        <f>SUM(C24:D24)</f>
        <v>0</v>
      </c>
      <c r="F24" s="137">
        <f t="shared" ref="F24:G24" si="7">SUM(F25:F35)</f>
        <v>0</v>
      </c>
      <c r="G24" s="137">
        <f t="shared" si="7"/>
        <v>0</v>
      </c>
      <c r="H24" s="137">
        <f t="shared" ref="H24:H56" si="8">SUM(F24:G24)</f>
        <v>0</v>
      </c>
      <c r="I24" s="137">
        <f t="shared" ref="I24:J24" si="9">SUM(I25:I35)</f>
        <v>0</v>
      </c>
      <c r="J24" s="137">
        <f t="shared" si="9"/>
        <v>0</v>
      </c>
      <c r="K24" s="137">
        <f t="shared" ref="K24:K56" si="10">SUM(I24:J24)</f>
        <v>0</v>
      </c>
      <c r="L24" s="16">
        <f>SUM(C24,F24,I24)</f>
        <v>0</v>
      </c>
      <c r="M24" s="16">
        <f>SUM(D24,G24,J24)</f>
        <v>0</v>
      </c>
      <c r="N24" s="16">
        <f>SUM(L24:M24)</f>
        <v>0</v>
      </c>
      <c r="O24" s="330" t="s">
        <v>97</v>
      </c>
      <c r="P24" s="331"/>
      <c r="Q24" s="331"/>
      <c r="R24" s="331"/>
      <c r="S24" s="332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R24" s="38" t="s">
        <v>562</v>
      </c>
      <c r="AS24" s="40" t="s">
        <v>167</v>
      </c>
      <c r="AT24" s="41" t="s">
        <v>174</v>
      </c>
      <c r="AU24" s="38"/>
      <c r="AV24" s="38"/>
      <c r="AW24" s="38"/>
      <c r="AX24" s="38"/>
      <c r="AY24" s="38"/>
      <c r="AZ24" s="38"/>
      <c r="BA24" s="38"/>
      <c r="BB24" s="38"/>
      <c r="BC24" s="38"/>
    </row>
    <row r="25" spans="1:374" s="45" customFormat="1" ht="24.75" customHeight="1">
      <c r="A25" s="333" t="s">
        <v>31</v>
      </c>
      <c r="B25" s="334"/>
      <c r="C25" s="30">
        <f>C78+D78+E78</f>
        <v>0</v>
      </c>
      <c r="D25" s="30">
        <f>C79+D79+E79</f>
        <v>0</v>
      </c>
      <c r="E25" s="139">
        <f t="shared" ref="E25:E35" si="11">SUM(C25:D25)</f>
        <v>0</v>
      </c>
      <c r="F25" s="31">
        <f>F78+G78+H78</f>
        <v>0</v>
      </c>
      <c r="G25" s="31">
        <f>F79+G79+H79</f>
        <v>0</v>
      </c>
      <c r="H25" s="141">
        <f t="shared" si="8"/>
        <v>0</v>
      </c>
      <c r="I25" s="32">
        <f>I78+J78+K78</f>
        <v>0</v>
      </c>
      <c r="J25" s="32">
        <f>I79+J79+K79</f>
        <v>0</v>
      </c>
      <c r="K25" s="144">
        <f t="shared" si="10"/>
        <v>0</v>
      </c>
      <c r="L25" s="125">
        <f t="shared" ref="L25:M75" si="12">SUM(C25,F25,I25)</f>
        <v>0</v>
      </c>
      <c r="M25" s="125">
        <f t="shared" si="12"/>
        <v>0</v>
      </c>
      <c r="N25" s="125">
        <f t="shared" ref="N25:N75" si="13">SUM(L25:M25)</f>
        <v>0</v>
      </c>
      <c r="O25" s="95"/>
      <c r="P25" s="96"/>
      <c r="Q25" s="96"/>
      <c r="R25" s="96"/>
      <c r="S25" s="33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R25" s="38" t="s">
        <v>579</v>
      </c>
      <c r="AS25" s="40" t="s">
        <v>167</v>
      </c>
      <c r="AT25" s="41" t="s">
        <v>175</v>
      </c>
      <c r="AU25" s="38"/>
      <c r="AV25" s="38"/>
      <c r="AW25" s="38"/>
      <c r="AX25" s="38"/>
      <c r="AY25" s="38"/>
      <c r="AZ25" s="38"/>
      <c r="BA25" s="38"/>
      <c r="BB25" s="38"/>
      <c r="BC25" s="38"/>
    </row>
    <row r="26" spans="1:374" s="47" customFormat="1" ht="24.75" customHeight="1">
      <c r="A26" s="324" t="s">
        <v>32</v>
      </c>
      <c r="B26" s="325"/>
      <c r="C26" s="30">
        <f>C80+D80+E80</f>
        <v>0</v>
      </c>
      <c r="D26" s="30">
        <f>C81+D81+E81</f>
        <v>0</v>
      </c>
      <c r="E26" s="139">
        <f t="shared" si="11"/>
        <v>0</v>
      </c>
      <c r="F26" s="31">
        <f>F80+G80+H80</f>
        <v>0</v>
      </c>
      <c r="G26" s="31">
        <f>F81+G81+H81</f>
        <v>0</v>
      </c>
      <c r="H26" s="142">
        <f t="shared" si="8"/>
        <v>0</v>
      </c>
      <c r="I26" s="32">
        <f>I80+J80+K80</f>
        <v>0</v>
      </c>
      <c r="J26" s="32">
        <f>I81+J81+K81</f>
        <v>0</v>
      </c>
      <c r="K26" s="144">
        <f t="shared" si="10"/>
        <v>0</v>
      </c>
      <c r="L26" s="125">
        <f t="shared" si="12"/>
        <v>0</v>
      </c>
      <c r="M26" s="125">
        <f t="shared" si="12"/>
        <v>0</v>
      </c>
      <c r="N26" s="125">
        <f t="shared" si="13"/>
        <v>0</v>
      </c>
      <c r="O26" s="95"/>
      <c r="P26" s="96"/>
      <c r="Q26" s="96"/>
      <c r="R26" s="96"/>
      <c r="S26" s="33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R26" s="38" t="s">
        <v>591</v>
      </c>
      <c r="AS26" s="40" t="s">
        <v>167</v>
      </c>
      <c r="AT26" s="41" t="s">
        <v>176</v>
      </c>
      <c r="AU26" s="38"/>
      <c r="AV26" s="38"/>
      <c r="AW26" s="38"/>
      <c r="AX26" s="38"/>
      <c r="AY26" s="38"/>
      <c r="AZ26" s="38"/>
      <c r="BA26" s="38"/>
      <c r="BB26" s="38"/>
      <c r="BC26" s="38"/>
    </row>
    <row r="27" spans="1:374" s="48" customFormat="1" ht="24.75" customHeight="1">
      <c r="A27" s="324" t="s">
        <v>33</v>
      </c>
      <c r="B27" s="325"/>
      <c r="C27" s="30">
        <f>C82+D82+E82</f>
        <v>0</v>
      </c>
      <c r="D27" s="30">
        <f>C83+D83+E83</f>
        <v>0</v>
      </c>
      <c r="E27" s="139">
        <f t="shared" si="11"/>
        <v>0</v>
      </c>
      <c r="F27" s="31">
        <f>F82+G82+H82</f>
        <v>0</v>
      </c>
      <c r="G27" s="31">
        <f>F83+G83+H83</f>
        <v>0</v>
      </c>
      <c r="H27" s="141">
        <f t="shared" si="8"/>
        <v>0</v>
      </c>
      <c r="I27" s="32">
        <f>I82+J82+K82</f>
        <v>0</v>
      </c>
      <c r="J27" s="32">
        <f>I83+J83+K83</f>
        <v>0</v>
      </c>
      <c r="K27" s="144">
        <f t="shared" si="10"/>
        <v>0</v>
      </c>
      <c r="L27" s="125">
        <f t="shared" si="12"/>
        <v>0</v>
      </c>
      <c r="M27" s="125">
        <f t="shared" si="12"/>
        <v>0</v>
      </c>
      <c r="N27" s="125">
        <f t="shared" si="13"/>
        <v>0</v>
      </c>
      <c r="O27" s="95"/>
      <c r="P27" s="96"/>
      <c r="Q27" s="96"/>
      <c r="R27" s="96"/>
      <c r="S27" s="33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45"/>
      <c r="AQ27" s="45"/>
      <c r="AR27" s="38" t="s">
        <v>600</v>
      </c>
      <c r="AS27" s="40" t="s">
        <v>167</v>
      </c>
      <c r="AT27" s="41" t="s">
        <v>177</v>
      </c>
      <c r="AU27" s="38"/>
      <c r="AV27" s="38"/>
      <c r="AW27" s="38"/>
      <c r="AX27" s="38"/>
      <c r="AY27" s="38"/>
      <c r="AZ27" s="38"/>
      <c r="BA27" s="38"/>
      <c r="BB27" s="38"/>
      <c r="BC27" s="38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/>
      <c r="IV27" s="45"/>
      <c r="IW27" s="45"/>
      <c r="IX27" s="45"/>
      <c r="IY27" s="45"/>
      <c r="IZ27" s="45"/>
      <c r="JA27" s="45"/>
      <c r="JB27" s="45"/>
      <c r="JC27" s="45"/>
      <c r="JD27" s="45"/>
      <c r="JE27" s="45"/>
      <c r="JF27" s="45"/>
      <c r="JG27" s="45"/>
      <c r="JH27" s="45"/>
      <c r="JI27" s="45"/>
      <c r="JJ27" s="45"/>
      <c r="JK27" s="45"/>
      <c r="JL27" s="45"/>
      <c r="JM27" s="45"/>
      <c r="JN27" s="45"/>
      <c r="JO27" s="45"/>
      <c r="JP27" s="45"/>
      <c r="JQ27" s="45"/>
      <c r="JR27" s="45"/>
      <c r="JS27" s="45"/>
      <c r="JT27" s="45"/>
      <c r="JU27" s="45"/>
      <c r="JV27" s="45"/>
      <c r="JW27" s="45"/>
      <c r="JX27" s="45"/>
      <c r="JY27" s="45"/>
      <c r="JZ27" s="45"/>
      <c r="KA27" s="45"/>
      <c r="KB27" s="45"/>
      <c r="KC27" s="45"/>
      <c r="KD27" s="45"/>
      <c r="KE27" s="45"/>
      <c r="KF27" s="45"/>
      <c r="KG27" s="45"/>
      <c r="KH27" s="45"/>
      <c r="KI27" s="45"/>
      <c r="KJ27" s="45"/>
      <c r="KK27" s="45"/>
      <c r="KL27" s="45"/>
      <c r="KM27" s="45"/>
      <c r="KN27" s="45"/>
      <c r="KO27" s="45"/>
      <c r="KP27" s="45"/>
      <c r="KQ27" s="45"/>
      <c r="KR27" s="45"/>
      <c r="KS27" s="45"/>
      <c r="KT27" s="45"/>
      <c r="KU27" s="45"/>
      <c r="KV27" s="45"/>
      <c r="KW27" s="45"/>
      <c r="KX27" s="45"/>
      <c r="KY27" s="45"/>
      <c r="KZ27" s="45"/>
      <c r="LA27" s="45"/>
      <c r="LB27" s="45"/>
      <c r="LC27" s="45"/>
      <c r="LD27" s="45"/>
      <c r="LE27" s="45"/>
      <c r="LF27" s="45"/>
      <c r="LG27" s="45"/>
      <c r="LH27" s="45"/>
      <c r="LI27" s="45"/>
      <c r="LJ27" s="45"/>
      <c r="LK27" s="45"/>
      <c r="LL27" s="45"/>
      <c r="LM27" s="45"/>
      <c r="LN27" s="45"/>
      <c r="LO27" s="45"/>
      <c r="LP27" s="45"/>
      <c r="LQ27" s="45"/>
      <c r="LR27" s="45"/>
      <c r="LS27" s="45"/>
      <c r="LT27" s="45"/>
      <c r="LU27" s="45"/>
      <c r="LV27" s="45"/>
      <c r="LW27" s="45"/>
      <c r="LX27" s="45"/>
      <c r="LY27" s="45"/>
      <c r="LZ27" s="45"/>
      <c r="MA27" s="45"/>
      <c r="MB27" s="45"/>
      <c r="MC27" s="45"/>
      <c r="MD27" s="45"/>
      <c r="ME27" s="45"/>
      <c r="MF27" s="45"/>
      <c r="MG27" s="45"/>
      <c r="MH27" s="45"/>
      <c r="MI27" s="45"/>
      <c r="MJ27" s="45"/>
      <c r="MK27" s="45"/>
      <c r="ML27" s="45"/>
      <c r="MM27" s="45"/>
      <c r="MN27" s="45"/>
      <c r="MO27" s="45"/>
      <c r="MP27" s="45"/>
      <c r="MQ27" s="45"/>
      <c r="MR27" s="45"/>
      <c r="MS27" s="45"/>
      <c r="MT27" s="45"/>
      <c r="MU27" s="45"/>
      <c r="MV27" s="45"/>
      <c r="MW27" s="45"/>
      <c r="MX27" s="45"/>
      <c r="MY27" s="45"/>
      <c r="MZ27" s="45"/>
      <c r="NA27" s="45"/>
      <c r="NB27" s="45"/>
      <c r="NC27" s="45"/>
      <c r="ND27" s="45"/>
      <c r="NE27" s="45"/>
      <c r="NF27" s="45"/>
      <c r="NG27" s="45"/>
      <c r="NH27" s="45"/>
      <c r="NI27" s="45"/>
      <c r="NJ27" s="45"/>
    </row>
    <row r="28" spans="1:374" s="45" customFormat="1" ht="24.75" customHeight="1">
      <c r="A28" s="324" t="s">
        <v>34</v>
      </c>
      <c r="B28" s="325"/>
      <c r="C28" s="30">
        <f>C84+D84+E84</f>
        <v>0</v>
      </c>
      <c r="D28" s="30">
        <f>C85+D85+E85</f>
        <v>0</v>
      </c>
      <c r="E28" s="139">
        <f t="shared" si="11"/>
        <v>0</v>
      </c>
      <c r="F28" s="31">
        <f>F84+G84+H84</f>
        <v>0</v>
      </c>
      <c r="G28" s="31">
        <f>F85+G85+H85</f>
        <v>0</v>
      </c>
      <c r="H28" s="141">
        <f t="shared" si="8"/>
        <v>0</v>
      </c>
      <c r="I28" s="32">
        <f>I84+J84+K84</f>
        <v>0</v>
      </c>
      <c r="J28" s="32">
        <f>I85+J85+K85</f>
        <v>0</v>
      </c>
      <c r="K28" s="144">
        <f t="shared" si="10"/>
        <v>0</v>
      </c>
      <c r="L28" s="125">
        <f t="shared" si="12"/>
        <v>0</v>
      </c>
      <c r="M28" s="125">
        <f t="shared" si="12"/>
        <v>0</v>
      </c>
      <c r="N28" s="125">
        <f t="shared" si="13"/>
        <v>0</v>
      </c>
      <c r="O28" s="95"/>
      <c r="P28" s="96"/>
      <c r="Q28" s="96"/>
      <c r="R28" s="96"/>
      <c r="S28" s="33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R28" s="38" t="s">
        <v>612</v>
      </c>
      <c r="AS28" s="40" t="s">
        <v>167</v>
      </c>
      <c r="AT28" s="41" t="s">
        <v>178</v>
      </c>
      <c r="AU28" s="38"/>
      <c r="AV28" s="38"/>
      <c r="AW28" s="38"/>
      <c r="AX28" s="38"/>
      <c r="AY28" s="38"/>
      <c r="AZ28" s="38"/>
      <c r="BA28" s="38"/>
      <c r="BB28" s="38"/>
      <c r="BC28" s="38"/>
    </row>
    <row r="29" spans="1:374" s="45" customFormat="1" ht="24.75" customHeight="1">
      <c r="A29" s="324" t="s">
        <v>35</v>
      </c>
      <c r="B29" s="325"/>
      <c r="C29" s="30">
        <f>C86+D86+E86</f>
        <v>0</v>
      </c>
      <c r="D29" s="30">
        <f>C87+D87+E87</f>
        <v>0</v>
      </c>
      <c r="E29" s="139">
        <f t="shared" si="11"/>
        <v>0</v>
      </c>
      <c r="F29" s="31">
        <f>F86+G86+H86</f>
        <v>0</v>
      </c>
      <c r="G29" s="31">
        <f>F87+G87+H87</f>
        <v>0</v>
      </c>
      <c r="H29" s="141">
        <f t="shared" si="8"/>
        <v>0</v>
      </c>
      <c r="I29" s="32">
        <f>I86+J86+K86</f>
        <v>0</v>
      </c>
      <c r="J29" s="32">
        <f>I87+J87+K87</f>
        <v>0</v>
      </c>
      <c r="K29" s="144">
        <f t="shared" si="10"/>
        <v>0</v>
      </c>
      <c r="L29" s="125">
        <f t="shared" si="12"/>
        <v>0</v>
      </c>
      <c r="M29" s="125">
        <f t="shared" si="12"/>
        <v>0</v>
      </c>
      <c r="N29" s="125">
        <f t="shared" si="13"/>
        <v>0</v>
      </c>
      <c r="O29" s="95"/>
      <c r="P29" s="96"/>
      <c r="Q29" s="96"/>
      <c r="R29" s="96"/>
      <c r="S29" s="33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R29" s="38" t="s">
        <v>643</v>
      </c>
      <c r="AS29" s="40" t="s">
        <v>167</v>
      </c>
      <c r="AT29" s="41" t="s">
        <v>179</v>
      </c>
      <c r="AU29" s="38"/>
      <c r="AV29" s="38"/>
      <c r="AW29" s="38"/>
      <c r="AX29" s="38"/>
      <c r="AY29" s="38"/>
      <c r="AZ29" s="38"/>
      <c r="BA29" s="38"/>
      <c r="BB29" s="38"/>
      <c r="BC29" s="38"/>
    </row>
    <row r="30" spans="1:374" s="45" customFormat="1" ht="24.75" customHeight="1">
      <c r="A30" s="324" t="s">
        <v>36</v>
      </c>
      <c r="B30" s="325"/>
      <c r="C30" s="30">
        <f>C88+D88+E88</f>
        <v>0</v>
      </c>
      <c r="D30" s="30">
        <f>C89+D89+E89</f>
        <v>0</v>
      </c>
      <c r="E30" s="139">
        <f t="shared" si="11"/>
        <v>0</v>
      </c>
      <c r="F30" s="31">
        <f>F88+G88+H88</f>
        <v>0</v>
      </c>
      <c r="G30" s="31">
        <f>F89+G89+H89</f>
        <v>0</v>
      </c>
      <c r="H30" s="141">
        <f t="shared" si="8"/>
        <v>0</v>
      </c>
      <c r="I30" s="32">
        <f>I88+J88+K88</f>
        <v>0</v>
      </c>
      <c r="J30" s="32">
        <f>I89+J89+K89</f>
        <v>0</v>
      </c>
      <c r="K30" s="144">
        <f t="shared" si="10"/>
        <v>0</v>
      </c>
      <c r="L30" s="125">
        <f t="shared" si="12"/>
        <v>0</v>
      </c>
      <c r="M30" s="125">
        <f t="shared" si="12"/>
        <v>0</v>
      </c>
      <c r="N30" s="125">
        <f t="shared" si="13"/>
        <v>0</v>
      </c>
      <c r="O30" s="95"/>
      <c r="P30" s="96"/>
      <c r="Q30" s="96"/>
      <c r="R30" s="96"/>
      <c r="S30" s="33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R30" s="38" t="s">
        <v>648</v>
      </c>
      <c r="AS30" s="40" t="s">
        <v>167</v>
      </c>
      <c r="AT30" s="41" t="s">
        <v>180</v>
      </c>
      <c r="AU30" s="38"/>
      <c r="AV30" s="38"/>
      <c r="AW30" s="38"/>
      <c r="AX30" s="38"/>
      <c r="AY30" s="38"/>
      <c r="AZ30" s="38"/>
      <c r="BA30" s="38"/>
      <c r="BB30" s="38"/>
      <c r="BC30" s="38"/>
    </row>
    <row r="31" spans="1:374" s="45" customFormat="1" ht="24.75" customHeight="1">
      <c r="A31" s="324" t="s">
        <v>37</v>
      </c>
      <c r="B31" s="325"/>
      <c r="C31" s="30">
        <f>C90+D90+E90</f>
        <v>0</v>
      </c>
      <c r="D31" s="30">
        <f>C91+D91+E91</f>
        <v>0</v>
      </c>
      <c r="E31" s="139">
        <f t="shared" si="11"/>
        <v>0</v>
      </c>
      <c r="F31" s="31">
        <f>F90+G90+H90</f>
        <v>0</v>
      </c>
      <c r="G31" s="31">
        <f>F91+G91+H91</f>
        <v>0</v>
      </c>
      <c r="H31" s="141">
        <f t="shared" si="8"/>
        <v>0</v>
      </c>
      <c r="I31" s="32">
        <f>I90+J90+K90</f>
        <v>0</v>
      </c>
      <c r="J31" s="32">
        <f>I91+J91+K91</f>
        <v>0</v>
      </c>
      <c r="K31" s="144">
        <f t="shared" si="10"/>
        <v>0</v>
      </c>
      <c r="L31" s="125">
        <f t="shared" si="12"/>
        <v>0</v>
      </c>
      <c r="M31" s="125">
        <f t="shared" si="12"/>
        <v>0</v>
      </c>
      <c r="N31" s="125">
        <f t="shared" si="13"/>
        <v>0</v>
      </c>
      <c r="O31" s="95"/>
      <c r="P31" s="96"/>
      <c r="Q31" s="96"/>
      <c r="R31" s="96"/>
      <c r="S31" s="33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R31" s="38" t="s">
        <v>671</v>
      </c>
      <c r="AS31" s="40" t="s">
        <v>167</v>
      </c>
      <c r="AT31" s="41" t="s">
        <v>181</v>
      </c>
      <c r="AU31" s="38"/>
      <c r="AV31" s="38"/>
      <c r="AW31" s="38"/>
      <c r="AX31" s="38"/>
      <c r="AY31" s="38"/>
      <c r="AZ31" s="38"/>
      <c r="BA31" s="38"/>
      <c r="BB31" s="38"/>
      <c r="BC31" s="38"/>
    </row>
    <row r="32" spans="1:374" s="45" customFormat="1" ht="24.75" customHeight="1">
      <c r="A32" s="324" t="s">
        <v>38</v>
      </c>
      <c r="B32" s="325"/>
      <c r="C32" s="30">
        <f>C92+D92+E92</f>
        <v>0</v>
      </c>
      <c r="D32" s="30">
        <f>C93+D93+E93</f>
        <v>0</v>
      </c>
      <c r="E32" s="139">
        <f>SUM(C32:D32)</f>
        <v>0</v>
      </c>
      <c r="F32" s="31">
        <f>F92+G92+H92</f>
        <v>0</v>
      </c>
      <c r="G32" s="31">
        <f>F93+G93+H93</f>
        <v>0</v>
      </c>
      <c r="H32" s="141">
        <f t="shared" si="8"/>
        <v>0</v>
      </c>
      <c r="I32" s="32">
        <f>I92+J92+K92</f>
        <v>0</v>
      </c>
      <c r="J32" s="32">
        <f>I93+J93+K93</f>
        <v>0</v>
      </c>
      <c r="K32" s="144">
        <f t="shared" si="10"/>
        <v>0</v>
      </c>
      <c r="L32" s="125">
        <f t="shared" si="12"/>
        <v>0</v>
      </c>
      <c r="M32" s="125">
        <f t="shared" si="12"/>
        <v>0</v>
      </c>
      <c r="N32" s="125">
        <f t="shared" si="13"/>
        <v>0</v>
      </c>
      <c r="O32" s="95"/>
      <c r="P32" s="96"/>
      <c r="Q32" s="96"/>
      <c r="R32" s="96"/>
      <c r="S32" s="33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R32" s="38" t="s">
        <v>705</v>
      </c>
      <c r="AS32" s="40" t="s">
        <v>167</v>
      </c>
      <c r="AT32" s="41" t="s">
        <v>182</v>
      </c>
      <c r="AU32" s="38"/>
      <c r="AV32" s="38"/>
      <c r="AW32" s="38"/>
      <c r="AX32" s="38"/>
      <c r="AY32" s="38"/>
      <c r="AZ32" s="38"/>
      <c r="BA32" s="38"/>
      <c r="BB32" s="38"/>
      <c r="BC32" s="38"/>
    </row>
    <row r="33" spans="1:374" s="45" customFormat="1" ht="24.75" customHeight="1">
      <c r="A33" s="324" t="s">
        <v>39</v>
      </c>
      <c r="B33" s="325"/>
      <c r="C33" s="30">
        <f>C94+D94+E94</f>
        <v>0</v>
      </c>
      <c r="D33" s="30">
        <f>C95+D95+E95</f>
        <v>0</v>
      </c>
      <c r="E33" s="139">
        <f t="shared" si="11"/>
        <v>0</v>
      </c>
      <c r="F33" s="31">
        <f>F94+G94+H94</f>
        <v>0</v>
      </c>
      <c r="G33" s="31">
        <f>F95+G95+H95</f>
        <v>0</v>
      </c>
      <c r="H33" s="141">
        <f t="shared" si="8"/>
        <v>0</v>
      </c>
      <c r="I33" s="32">
        <f>I94+J94+K94</f>
        <v>0</v>
      </c>
      <c r="J33" s="32">
        <f>I95+J95+K95</f>
        <v>0</v>
      </c>
      <c r="K33" s="144">
        <f t="shared" si="10"/>
        <v>0</v>
      </c>
      <c r="L33" s="125">
        <f t="shared" si="12"/>
        <v>0</v>
      </c>
      <c r="M33" s="125">
        <f t="shared" si="12"/>
        <v>0</v>
      </c>
      <c r="N33" s="125">
        <f t="shared" si="13"/>
        <v>0</v>
      </c>
      <c r="O33" s="95"/>
      <c r="P33" s="96"/>
      <c r="Q33" s="96"/>
      <c r="R33" s="96"/>
      <c r="S33" s="33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R33" s="38" t="s">
        <v>706</v>
      </c>
      <c r="AS33" s="40" t="s">
        <v>167</v>
      </c>
      <c r="AT33" s="41" t="s">
        <v>183</v>
      </c>
      <c r="AU33" s="38"/>
      <c r="AV33" s="38"/>
      <c r="AW33" s="38"/>
      <c r="AX33" s="38"/>
      <c r="AY33" s="38"/>
      <c r="AZ33" s="38"/>
      <c r="BA33" s="38"/>
      <c r="BB33" s="38"/>
      <c r="BC33" s="38"/>
    </row>
    <row r="34" spans="1:374" s="45" customFormat="1" ht="24.75" customHeight="1">
      <c r="A34" s="163" t="s">
        <v>926</v>
      </c>
      <c r="B34" s="164"/>
      <c r="C34" s="30">
        <f>C96+D96+E96</f>
        <v>0</v>
      </c>
      <c r="D34" s="30">
        <f>C97+D97+E97</f>
        <v>0</v>
      </c>
      <c r="E34" s="139">
        <f t="shared" si="11"/>
        <v>0</v>
      </c>
      <c r="F34" s="31">
        <f>F96+G96+H96</f>
        <v>0</v>
      </c>
      <c r="G34" s="31">
        <f>F97+G97+H97</f>
        <v>0</v>
      </c>
      <c r="H34" s="141">
        <f t="shared" si="8"/>
        <v>0</v>
      </c>
      <c r="I34" s="32">
        <f>I96+J96+K96</f>
        <v>0</v>
      </c>
      <c r="J34" s="32">
        <f>I97+J97+K97</f>
        <v>0</v>
      </c>
      <c r="K34" s="144">
        <f t="shared" si="10"/>
        <v>0</v>
      </c>
      <c r="L34" s="125">
        <f t="shared" si="12"/>
        <v>0</v>
      </c>
      <c r="M34" s="125">
        <f t="shared" si="12"/>
        <v>0</v>
      </c>
      <c r="N34" s="125">
        <f t="shared" si="13"/>
        <v>0</v>
      </c>
      <c r="O34" s="95"/>
      <c r="P34" s="96"/>
      <c r="Q34" s="96"/>
      <c r="R34" s="96"/>
      <c r="S34" s="96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R34" s="38"/>
      <c r="AS34" s="40"/>
      <c r="AT34" s="41"/>
      <c r="AU34" s="38"/>
      <c r="AV34" s="38"/>
      <c r="AW34" s="38"/>
      <c r="AX34" s="38"/>
      <c r="AY34" s="38"/>
      <c r="AZ34" s="38"/>
      <c r="BA34" s="38"/>
      <c r="BB34" s="38"/>
      <c r="BC34" s="38"/>
    </row>
    <row r="35" spans="1:374" s="45" customFormat="1" ht="24.75" customHeight="1">
      <c r="A35" s="163" t="s">
        <v>927</v>
      </c>
      <c r="B35" s="164"/>
      <c r="C35" s="30">
        <f>C98+D98+E98</f>
        <v>0</v>
      </c>
      <c r="D35" s="30">
        <f>C99+D99+E99</f>
        <v>0</v>
      </c>
      <c r="E35" s="139">
        <f t="shared" si="11"/>
        <v>0</v>
      </c>
      <c r="F35" s="31">
        <f>F98+G98+H98</f>
        <v>0</v>
      </c>
      <c r="G35" s="31">
        <f>F99+G99+H99</f>
        <v>0</v>
      </c>
      <c r="H35" s="141">
        <f t="shared" si="8"/>
        <v>0</v>
      </c>
      <c r="I35" s="32">
        <f>I98+J98+K98</f>
        <v>0</v>
      </c>
      <c r="J35" s="32">
        <f>I99+J99+K99</f>
        <v>0</v>
      </c>
      <c r="K35" s="144">
        <f t="shared" si="10"/>
        <v>0</v>
      </c>
      <c r="L35" s="125">
        <f t="shared" si="12"/>
        <v>0</v>
      </c>
      <c r="M35" s="125">
        <f t="shared" si="12"/>
        <v>0</v>
      </c>
      <c r="N35" s="125">
        <f t="shared" si="13"/>
        <v>0</v>
      </c>
      <c r="O35" s="95"/>
      <c r="P35" s="96"/>
      <c r="Q35" s="96"/>
      <c r="R35" s="96"/>
      <c r="S35" s="96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R35" s="38"/>
      <c r="AS35" s="40"/>
      <c r="AT35" s="41"/>
      <c r="AU35" s="38"/>
      <c r="AV35" s="38"/>
      <c r="AW35" s="38"/>
      <c r="AX35" s="38"/>
      <c r="AY35" s="38"/>
      <c r="AZ35" s="38"/>
      <c r="BA35" s="38"/>
      <c r="BB35" s="38"/>
      <c r="BC35" s="38"/>
    </row>
    <row r="36" spans="1:374" s="45" customFormat="1" ht="24.75" customHeight="1">
      <c r="A36" s="326" t="s">
        <v>40</v>
      </c>
      <c r="B36" s="327"/>
      <c r="C36" s="15">
        <f>SUM(C37:C45)</f>
        <v>0</v>
      </c>
      <c r="D36" s="15">
        <f>SUM(D37:D45)</f>
        <v>0</v>
      </c>
      <c r="E36" s="15">
        <f>SUM(C36:D36)</f>
        <v>0</v>
      </c>
      <c r="F36" s="15">
        <f t="shared" ref="F36:G36" si="14">SUM(F37:F45)</f>
        <v>0</v>
      </c>
      <c r="G36" s="15">
        <f t="shared" si="14"/>
        <v>0</v>
      </c>
      <c r="H36" s="15">
        <f t="shared" si="8"/>
        <v>0</v>
      </c>
      <c r="I36" s="15">
        <f t="shared" ref="I36:J36" si="15">SUM(I37:I45)</f>
        <v>0</v>
      </c>
      <c r="J36" s="15">
        <f t="shared" si="15"/>
        <v>0</v>
      </c>
      <c r="K36" s="15">
        <f t="shared" si="10"/>
        <v>0</v>
      </c>
      <c r="L36" s="16">
        <f t="shared" si="12"/>
        <v>0</v>
      </c>
      <c r="M36" s="16">
        <f t="shared" si="12"/>
        <v>0</v>
      </c>
      <c r="N36" s="16">
        <f t="shared" si="13"/>
        <v>0</v>
      </c>
      <c r="O36" s="340" t="s">
        <v>128</v>
      </c>
      <c r="P36" s="341"/>
      <c r="Q36" s="341"/>
      <c r="R36" s="341"/>
      <c r="S36" s="342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R36" s="38" t="s">
        <v>739</v>
      </c>
      <c r="AS36" s="40" t="s">
        <v>167</v>
      </c>
      <c r="AT36" s="41" t="s">
        <v>184</v>
      </c>
      <c r="AU36" s="38"/>
      <c r="AV36" s="38"/>
      <c r="AW36" s="38"/>
      <c r="AX36" s="38"/>
      <c r="AY36" s="38"/>
      <c r="AZ36" s="38"/>
      <c r="BA36" s="38"/>
      <c r="BB36" s="38"/>
      <c r="BC36" s="38"/>
    </row>
    <row r="37" spans="1:374" s="45" customFormat="1" ht="24.75" customHeight="1">
      <c r="A37" s="335" t="s">
        <v>41</v>
      </c>
      <c r="B37" s="336"/>
      <c r="C37" s="30">
        <f>C100+D100+E100</f>
        <v>0</v>
      </c>
      <c r="D37" s="30">
        <f>C101+D101+E101</f>
        <v>0</v>
      </c>
      <c r="E37" s="139">
        <f t="shared" ref="E37:E45" si="16">SUM(C37:D37)</f>
        <v>0</v>
      </c>
      <c r="F37" s="31">
        <f>F100+G100+H100</f>
        <v>0</v>
      </c>
      <c r="G37" s="31">
        <f>F101+G101+H101</f>
        <v>0</v>
      </c>
      <c r="H37" s="141">
        <f t="shared" si="8"/>
        <v>0</v>
      </c>
      <c r="I37" s="32">
        <f>I100+J100+K100</f>
        <v>0</v>
      </c>
      <c r="J37" s="32">
        <f>I101+J101+K101</f>
        <v>0</v>
      </c>
      <c r="K37" s="145">
        <f t="shared" si="10"/>
        <v>0</v>
      </c>
      <c r="L37" s="126">
        <f t="shared" si="12"/>
        <v>0</v>
      </c>
      <c r="M37" s="126">
        <f t="shared" si="12"/>
        <v>0</v>
      </c>
      <c r="N37" s="126">
        <f t="shared" si="13"/>
        <v>0</v>
      </c>
      <c r="O37" s="337"/>
      <c r="P37" s="338"/>
      <c r="Q37" s="338"/>
      <c r="R37" s="338"/>
      <c r="S37" s="339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R37" s="38" t="s">
        <v>771</v>
      </c>
      <c r="AS37" s="40" t="s">
        <v>167</v>
      </c>
      <c r="AT37" s="41" t="s">
        <v>185</v>
      </c>
      <c r="AU37" s="38"/>
      <c r="AV37" s="38"/>
      <c r="AW37" s="38"/>
      <c r="AX37" s="38"/>
      <c r="AY37" s="38"/>
      <c r="AZ37" s="38"/>
      <c r="BA37" s="38"/>
      <c r="BB37" s="38"/>
      <c r="BC37" s="38"/>
    </row>
    <row r="38" spans="1:374" s="45" customFormat="1" ht="24.75" customHeight="1">
      <c r="A38" s="335" t="s">
        <v>42</v>
      </c>
      <c r="B38" s="336"/>
      <c r="C38" s="30">
        <f>C102+D102+E102</f>
        <v>0</v>
      </c>
      <c r="D38" s="30">
        <f>C103+D103+E103</f>
        <v>0</v>
      </c>
      <c r="E38" s="139">
        <f t="shared" si="16"/>
        <v>0</v>
      </c>
      <c r="F38" s="31">
        <f>F102+G102+H102</f>
        <v>0</v>
      </c>
      <c r="G38" s="31">
        <f>F103+G103+H103</f>
        <v>0</v>
      </c>
      <c r="H38" s="141">
        <f t="shared" si="8"/>
        <v>0</v>
      </c>
      <c r="I38" s="32">
        <f>I102+J102+K102</f>
        <v>0</v>
      </c>
      <c r="J38" s="32">
        <f>I103+J103+K103</f>
        <v>0</v>
      </c>
      <c r="K38" s="145">
        <f t="shared" si="10"/>
        <v>0</v>
      </c>
      <c r="L38" s="126">
        <f t="shared" si="12"/>
        <v>0</v>
      </c>
      <c r="M38" s="126">
        <f t="shared" si="12"/>
        <v>0</v>
      </c>
      <c r="N38" s="126">
        <f t="shared" si="13"/>
        <v>0</v>
      </c>
      <c r="O38" s="337"/>
      <c r="P38" s="338"/>
      <c r="Q38" s="338"/>
      <c r="R38" s="338"/>
      <c r="S38" s="339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R38" s="38" t="s">
        <v>780</v>
      </c>
      <c r="AS38" s="40" t="s">
        <v>167</v>
      </c>
      <c r="AT38" s="41" t="s">
        <v>186</v>
      </c>
      <c r="AU38" s="38"/>
      <c r="AV38" s="38"/>
      <c r="AW38" s="38"/>
      <c r="AX38" s="38"/>
      <c r="AY38" s="38"/>
      <c r="AZ38" s="38"/>
      <c r="BA38" s="38"/>
      <c r="BB38" s="38"/>
      <c r="BC38" s="38"/>
    </row>
    <row r="39" spans="1:374" s="48" customFormat="1" ht="24.75" customHeight="1">
      <c r="A39" s="335" t="s">
        <v>43</v>
      </c>
      <c r="B39" s="336"/>
      <c r="C39" s="30">
        <f>C104+D104+E104</f>
        <v>0</v>
      </c>
      <c r="D39" s="30">
        <f>C105+D105+E105</f>
        <v>0</v>
      </c>
      <c r="E39" s="139">
        <f t="shared" si="16"/>
        <v>0</v>
      </c>
      <c r="F39" s="31">
        <f>F104+G104+H104</f>
        <v>0</v>
      </c>
      <c r="G39" s="31">
        <f>F105+G105+H105</f>
        <v>0</v>
      </c>
      <c r="H39" s="141">
        <f t="shared" si="8"/>
        <v>0</v>
      </c>
      <c r="I39" s="32">
        <f>I104+J104+K104</f>
        <v>0</v>
      </c>
      <c r="J39" s="32">
        <f>I105+J105+K105</f>
        <v>0</v>
      </c>
      <c r="K39" s="145">
        <f t="shared" si="10"/>
        <v>0</v>
      </c>
      <c r="L39" s="126">
        <f t="shared" si="12"/>
        <v>0</v>
      </c>
      <c r="M39" s="126">
        <f t="shared" si="12"/>
        <v>0</v>
      </c>
      <c r="N39" s="126">
        <f t="shared" si="13"/>
        <v>0</v>
      </c>
      <c r="O39" s="337"/>
      <c r="P39" s="338"/>
      <c r="Q39" s="338"/>
      <c r="R39" s="338"/>
      <c r="S39" s="3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45"/>
      <c r="AQ39" s="45"/>
      <c r="AR39" s="38" t="s">
        <v>853</v>
      </c>
      <c r="AS39" s="40" t="s">
        <v>167</v>
      </c>
      <c r="AT39" s="41" t="s">
        <v>187</v>
      </c>
      <c r="AU39" s="38"/>
      <c r="AV39" s="38"/>
      <c r="AW39" s="38"/>
      <c r="AX39" s="38"/>
      <c r="AY39" s="38"/>
      <c r="AZ39" s="38"/>
      <c r="BA39" s="38"/>
      <c r="BB39" s="38"/>
      <c r="BC39" s="38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  <c r="IW39" s="45"/>
      <c r="IX39" s="45"/>
      <c r="IY39" s="45"/>
      <c r="IZ39" s="45"/>
      <c r="JA39" s="45"/>
      <c r="JB39" s="45"/>
      <c r="JC39" s="45"/>
      <c r="JD39" s="45"/>
      <c r="JE39" s="45"/>
      <c r="JF39" s="45"/>
      <c r="JG39" s="45"/>
      <c r="JH39" s="45"/>
      <c r="JI39" s="45"/>
      <c r="JJ39" s="45"/>
      <c r="JK39" s="45"/>
      <c r="JL39" s="45"/>
      <c r="JM39" s="45"/>
      <c r="JN39" s="45"/>
      <c r="JO39" s="45"/>
      <c r="JP39" s="45"/>
      <c r="JQ39" s="45"/>
      <c r="JR39" s="45"/>
      <c r="JS39" s="45"/>
      <c r="JT39" s="45"/>
      <c r="JU39" s="45"/>
      <c r="JV39" s="45"/>
      <c r="JW39" s="45"/>
      <c r="JX39" s="45"/>
      <c r="JY39" s="45"/>
      <c r="JZ39" s="45"/>
      <c r="KA39" s="45"/>
      <c r="KB39" s="45"/>
      <c r="KC39" s="45"/>
      <c r="KD39" s="45"/>
      <c r="KE39" s="45"/>
      <c r="KF39" s="45"/>
      <c r="KG39" s="45"/>
      <c r="KH39" s="45"/>
      <c r="KI39" s="45"/>
      <c r="KJ39" s="45"/>
      <c r="KK39" s="45"/>
      <c r="KL39" s="45"/>
      <c r="KM39" s="45"/>
      <c r="KN39" s="45"/>
      <c r="KO39" s="45"/>
      <c r="KP39" s="45"/>
      <c r="KQ39" s="45"/>
      <c r="KR39" s="45"/>
      <c r="KS39" s="45"/>
      <c r="KT39" s="45"/>
      <c r="KU39" s="45"/>
      <c r="KV39" s="45"/>
      <c r="KW39" s="45"/>
      <c r="KX39" s="45"/>
      <c r="KY39" s="45"/>
      <c r="KZ39" s="45"/>
      <c r="LA39" s="45"/>
      <c r="LB39" s="45"/>
      <c r="LC39" s="45"/>
      <c r="LD39" s="45"/>
      <c r="LE39" s="45"/>
      <c r="LF39" s="45"/>
      <c r="LG39" s="45"/>
      <c r="LH39" s="45"/>
      <c r="LI39" s="45"/>
      <c r="LJ39" s="45"/>
      <c r="LK39" s="45"/>
      <c r="LL39" s="45"/>
      <c r="LM39" s="45"/>
      <c r="LN39" s="45"/>
      <c r="LO39" s="45"/>
      <c r="LP39" s="45"/>
      <c r="LQ39" s="45"/>
      <c r="LR39" s="45"/>
      <c r="LS39" s="45"/>
      <c r="LT39" s="45"/>
      <c r="LU39" s="45"/>
      <c r="LV39" s="45"/>
      <c r="LW39" s="45"/>
      <c r="LX39" s="45"/>
      <c r="LY39" s="45"/>
      <c r="LZ39" s="45"/>
      <c r="MA39" s="45"/>
      <c r="MB39" s="45"/>
      <c r="MC39" s="45"/>
      <c r="MD39" s="45"/>
      <c r="ME39" s="45"/>
      <c r="MF39" s="45"/>
      <c r="MG39" s="45"/>
      <c r="MH39" s="45"/>
      <c r="MI39" s="45"/>
      <c r="MJ39" s="45"/>
      <c r="MK39" s="45"/>
      <c r="ML39" s="45"/>
      <c r="MM39" s="45"/>
      <c r="MN39" s="45"/>
      <c r="MO39" s="45"/>
      <c r="MP39" s="45"/>
      <c r="MQ39" s="45"/>
      <c r="MR39" s="45"/>
      <c r="MS39" s="45"/>
      <c r="MT39" s="45"/>
      <c r="MU39" s="45"/>
      <c r="MV39" s="45"/>
      <c r="MW39" s="45"/>
      <c r="MX39" s="45"/>
      <c r="MY39" s="45"/>
      <c r="MZ39" s="45"/>
      <c r="NA39" s="45"/>
      <c r="NB39" s="45"/>
      <c r="NC39" s="45"/>
      <c r="ND39" s="45"/>
      <c r="NE39" s="45"/>
      <c r="NF39" s="45"/>
      <c r="NG39" s="45"/>
      <c r="NH39" s="45"/>
      <c r="NI39" s="45"/>
      <c r="NJ39" s="45"/>
    </row>
    <row r="40" spans="1:374" s="45" customFormat="1" ht="24.75" customHeight="1">
      <c r="A40" s="335" t="s">
        <v>44</v>
      </c>
      <c r="B40" s="336"/>
      <c r="C40" s="30">
        <f>C106+D106+E106</f>
        <v>0</v>
      </c>
      <c r="D40" s="30">
        <f>C107+D107+E107</f>
        <v>0</v>
      </c>
      <c r="E40" s="139">
        <f t="shared" si="16"/>
        <v>0</v>
      </c>
      <c r="F40" s="31">
        <f>F106+G106+H106</f>
        <v>0</v>
      </c>
      <c r="G40" s="31">
        <f>F107+G107+H107</f>
        <v>0</v>
      </c>
      <c r="H40" s="141">
        <f t="shared" si="8"/>
        <v>0</v>
      </c>
      <c r="I40" s="135"/>
      <c r="J40" s="136"/>
      <c r="K40" s="145">
        <f t="shared" si="10"/>
        <v>0</v>
      </c>
      <c r="L40" s="126">
        <f t="shared" si="12"/>
        <v>0</v>
      </c>
      <c r="M40" s="126">
        <f t="shared" si="12"/>
        <v>0</v>
      </c>
      <c r="N40" s="126">
        <f t="shared" si="13"/>
        <v>0</v>
      </c>
      <c r="O40" s="337"/>
      <c r="P40" s="338"/>
      <c r="Q40" s="338"/>
      <c r="R40" s="338"/>
      <c r="S40" s="339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R40" s="38" t="s">
        <v>867</v>
      </c>
      <c r="AS40" s="40" t="s">
        <v>167</v>
      </c>
      <c r="AT40" s="41" t="s">
        <v>188</v>
      </c>
      <c r="AU40" s="38"/>
      <c r="AV40" s="38"/>
      <c r="AW40" s="38"/>
      <c r="AX40" s="38"/>
      <c r="AY40" s="38"/>
      <c r="AZ40" s="38"/>
      <c r="BA40" s="38"/>
      <c r="BB40" s="38"/>
      <c r="BC40" s="38"/>
    </row>
    <row r="41" spans="1:374" s="45" customFormat="1" ht="24.75" customHeight="1">
      <c r="A41" s="335" t="s">
        <v>45</v>
      </c>
      <c r="B41" s="336"/>
      <c r="C41" s="129"/>
      <c r="D41" s="129"/>
      <c r="E41" s="17"/>
      <c r="F41" s="135"/>
      <c r="G41" s="135"/>
      <c r="H41" s="18"/>
      <c r="I41" s="32">
        <f>I108+J108+K108</f>
        <v>0</v>
      </c>
      <c r="J41" s="32">
        <f>I109+J109+K109</f>
        <v>0</v>
      </c>
      <c r="K41" s="145">
        <f t="shared" si="10"/>
        <v>0</v>
      </c>
      <c r="L41" s="126">
        <f t="shared" si="12"/>
        <v>0</v>
      </c>
      <c r="M41" s="126">
        <f t="shared" si="12"/>
        <v>0</v>
      </c>
      <c r="N41" s="126">
        <f t="shared" si="13"/>
        <v>0</v>
      </c>
      <c r="O41" s="337"/>
      <c r="P41" s="338"/>
      <c r="Q41" s="338"/>
      <c r="R41" s="338"/>
      <c r="S41" s="339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S41" s="40" t="s">
        <v>189</v>
      </c>
      <c r="AT41" s="41" t="s">
        <v>190</v>
      </c>
      <c r="AU41" s="38"/>
      <c r="AV41" s="38"/>
      <c r="AW41" s="38"/>
      <c r="AX41" s="38"/>
      <c r="AY41" s="38"/>
      <c r="AZ41" s="38"/>
      <c r="BA41" s="38"/>
      <c r="BB41" s="38"/>
      <c r="BC41" s="38"/>
    </row>
    <row r="42" spans="1:374" s="45" customFormat="1" ht="24.75" customHeight="1">
      <c r="A42" s="335" t="s">
        <v>46</v>
      </c>
      <c r="B42" s="336"/>
      <c r="C42" s="129"/>
      <c r="D42" s="129"/>
      <c r="E42" s="139">
        <f t="shared" si="16"/>
        <v>0</v>
      </c>
      <c r="F42" s="31">
        <f>F110+G110+H110</f>
        <v>0</v>
      </c>
      <c r="G42" s="31">
        <f>F111+G111+H111</f>
        <v>0</v>
      </c>
      <c r="H42" s="141">
        <f t="shared" si="8"/>
        <v>0</v>
      </c>
      <c r="I42" s="32">
        <f>I110+J110+K110</f>
        <v>0</v>
      </c>
      <c r="J42" s="32">
        <f>I111+J111+K111</f>
        <v>0</v>
      </c>
      <c r="K42" s="145">
        <f t="shared" si="10"/>
        <v>0</v>
      </c>
      <c r="L42" s="126">
        <f t="shared" si="12"/>
        <v>0</v>
      </c>
      <c r="M42" s="126">
        <f t="shared" si="12"/>
        <v>0</v>
      </c>
      <c r="N42" s="126">
        <f t="shared" si="13"/>
        <v>0</v>
      </c>
      <c r="O42" s="337"/>
      <c r="P42" s="338"/>
      <c r="Q42" s="338"/>
      <c r="R42" s="338"/>
      <c r="S42" s="339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S42" s="40" t="s">
        <v>189</v>
      </c>
      <c r="AT42" s="41" t="s">
        <v>191</v>
      </c>
      <c r="AU42" s="38"/>
      <c r="AV42" s="38"/>
      <c r="AW42" s="38"/>
      <c r="AX42" s="38"/>
      <c r="AY42" s="38"/>
      <c r="AZ42" s="38"/>
      <c r="BA42" s="38"/>
      <c r="BB42" s="38"/>
      <c r="BC42" s="38"/>
    </row>
    <row r="43" spans="1:374" s="45" customFormat="1" ht="24.75" customHeight="1">
      <c r="A43" s="335" t="s">
        <v>47</v>
      </c>
      <c r="B43" s="336"/>
      <c r="C43" s="30">
        <f>C112+D112+E112</f>
        <v>0</v>
      </c>
      <c r="D43" s="30">
        <f>C113+D113+E113</f>
        <v>0</v>
      </c>
      <c r="E43" s="139">
        <f t="shared" si="16"/>
        <v>0</v>
      </c>
      <c r="F43" s="31">
        <f>F112+G112+H112</f>
        <v>0</v>
      </c>
      <c r="G43" s="31">
        <f>F113+G113+H113</f>
        <v>0</v>
      </c>
      <c r="H43" s="141">
        <f t="shared" si="8"/>
        <v>0</v>
      </c>
      <c r="I43" s="32">
        <f>I112+J112+K112</f>
        <v>0</v>
      </c>
      <c r="J43" s="32">
        <f>I113+J113+K113</f>
        <v>0</v>
      </c>
      <c r="K43" s="145">
        <f t="shared" si="10"/>
        <v>0</v>
      </c>
      <c r="L43" s="126">
        <f t="shared" si="12"/>
        <v>0</v>
      </c>
      <c r="M43" s="126">
        <f t="shared" si="12"/>
        <v>0</v>
      </c>
      <c r="N43" s="126">
        <f t="shared" si="13"/>
        <v>0</v>
      </c>
      <c r="O43" s="337"/>
      <c r="P43" s="338"/>
      <c r="Q43" s="338"/>
      <c r="R43" s="338"/>
      <c r="S43" s="339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S43" s="40" t="s">
        <v>189</v>
      </c>
      <c r="AT43" s="41" t="s">
        <v>192</v>
      </c>
      <c r="AU43" s="38"/>
      <c r="AV43" s="38"/>
      <c r="AW43" s="38"/>
      <c r="AX43" s="38"/>
      <c r="AY43" s="38"/>
      <c r="AZ43" s="38"/>
      <c r="BA43" s="38"/>
      <c r="BB43" s="38"/>
      <c r="BC43" s="38"/>
    </row>
    <row r="44" spans="1:374" s="45" customFormat="1" ht="24.75" customHeight="1">
      <c r="A44" s="348" t="s">
        <v>928</v>
      </c>
      <c r="B44" s="349"/>
      <c r="C44" s="30">
        <f>C114+D114+E114</f>
        <v>0</v>
      </c>
      <c r="D44" s="30">
        <f>C115+D115+E115</f>
        <v>0</v>
      </c>
      <c r="E44" s="139">
        <f t="shared" si="16"/>
        <v>0</v>
      </c>
      <c r="F44" s="31">
        <f>F114+G114+H114</f>
        <v>0</v>
      </c>
      <c r="G44" s="31">
        <f>F115+G115+H115</f>
        <v>0</v>
      </c>
      <c r="H44" s="141">
        <f t="shared" si="8"/>
        <v>0</v>
      </c>
      <c r="I44" s="135"/>
      <c r="J44" s="136"/>
      <c r="K44" s="145">
        <f t="shared" si="10"/>
        <v>0</v>
      </c>
      <c r="L44" s="126">
        <f t="shared" si="12"/>
        <v>0</v>
      </c>
      <c r="M44" s="126">
        <f t="shared" si="12"/>
        <v>0</v>
      </c>
      <c r="N44" s="126">
        <f t="shared" si="13"/>
        <v>0</v>
      </c>
      <c r="O44" s="160"/>
      <c r="P44" s="160"/>
      <c r="Q44" s="160"/>
      <c r="R44" s="160"/>
      <c r="S44" s="160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S44" s="40"/>
      <c r="AT44" s="41"/>
      <c r="AU44" s="38"/>
      <c r="AV44" s="38"/>
      <c r="AW44" s="38"/>
      <c r="AX44" s="38"/>
      <c r="AY44" s="38"/>
      <c r="AZ44" s="38"/>
      <c r="BA44" s="38"/>
      <c r="BB44" s="38"/>
      <c r="BC44" s="38"/>
    </row>
    <row r="45" spans="1:374" s="45" customFormat="1" ht="24.75" customHeight="1">
      <c r="A45" s="348" t="s">
        <v>929</v>
      </c>
      <c r="B45" s="349"/>
      <c r="C45" s="30">
        <f>C116+D116+E116</f>
        <v>0</v>
      </c>
      <c r="D45" s="30">
        <f>C117+D117+E117</f>
        <v>0</v>
      </c>
      <c r="E45" s="139">
        <f t="shared" si="16"/>
        <v>0</v>
      </c>
      <c r="F45" s="31">
        <f>F116+G116+H116</f>
        <v>0</v>
      </c>
      <c r="G45" s="31">
        <f>F117+G117+H117</f>
        <v>0</v>
      </c>
      <c r="H45" s="141">
        <f t="shared" si="8"/>
        <v>0</v>
      </c>
      <c r="I45" s="32">
        <f>I116+J116+K116</f>
        <v>0</v>
      </c>
      <c r="J45" s="32">
        <f>I117+J117+K117</f>
        <v>0</v>
      </c>
      <c r="K45" s="145">
        <f t="shared" si="10"/>
        <v>0</v>
      </c>
      <c r="L45" s="126">
        <f t="shared" si="12"/>
        <v>0</v>
      </c>
      <c r="M45" s="126">
        <f t="shared" si="12"/>
        <v>0</v>
      </c>
      <c r="N45" s="126">
        <f t="shared" si="13"/>
        <v>0</v>
      </c>
      <c r="O45" s="160"/>
      <c r="P45" s="160"/>
      <c r="Q45" s="160"/>
      <c r="R45" s="160"/>
      <c r="S45" s="160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S45" s="40"/>
      <c r="AT45" s="41"/>
      <c r="AU45" s="38"/>
      <c r="AV45" s="38"/>
      <c r="AW45" s="38"/>
      <c r="AX45" s="38"/>
      <c r="AY45" s="38"/>
      <c r="AZ45" s="38"/>
      <c r="BA45" s="38"/>
      <c r="BB45" s="38"/>
      <c r="BC45" s="38"/>
    </row>
    <row r="46" spans="1:374" s="45" customFormat="1" ht="24.75" customHeight="1">
      <c r="A46" s="350" t="s">
        <v>48</v>
      </c>
      <c r="B46" s="351"/>
      <c r="C46" s="15">
        <f>SUM(C47:C55)</f>
        <v>0</v>
      </c>
      <c r="D46" s="15">
        <f>SUM(D47:D55)</f>
        <v>0</v>
      </c>
      <c r="E46" s="15">
        <f>SUM(C46:D46)</f>
        <v>0</v>
      </c>
      <c r="F46" s="15">
        <f t="shared" ref="F46:G46" si="17">SUM(F47:F55)</f>
        <v>0</v>
      </c>
      <c r="G46" s="15">
        <f t="shared" si="17"/>
        <v>0</v>
      </c>
      <c r="H46" s="15">
        <f t="shared" si="8"/>
        <v>0</v>
      </c>
      <c r="I46" s="15">
        <f t="shared" ref="I46:J46" si="18">SUM(I47:I55)</f>
        <v>0</v>
      </c>
      <c r="J46" s="15">
        <f t="shared" si="18"/>
        <v>0</v>
      </c>
      <c r="K46" s="15">
        <f t="shared" si="10"/>
        <v>0</v>
      </c>
      <c r="L46" s="16">
        <f t="shared" si="12"/>
        <v>0</v>
      </c>
      <c r="M46" s="16">
        <f t="shared" si="12"/>
        <v>0</v>
      </c>
      <c r="N46" s="16">
        <f t="shared" si="13"/>
        <v>0</v>
      </c>
      <c r="O46" s="340" t="s">
        <v>98</v>
      </c>
      <c r="P46" s="341"/>
      <c r="Q46" s="341"/>
      <c r="R46" s="341"/>
      <c r="S46" s="342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S46" s="40" t="s">
        <v>189</v>
      </c>
      <c r="AT46" s="41" t="s">
        <v>193</v>
      </c>
      <c r="AU46" s="38"/>
      <c r="AV46" s="38"/>
      <c r="AW46" s="38"/>
      <c r="AX46" s="38"/>
      <c r="AY46" s="38"/>
      <c r="AZ46" s="38"/>
      <c r="BA46" s="38"/>
      <c r="BB46" s="38"/>
      <c r="BC46" s="38"/>
    </row>
    <row r="47" spans="1:374" s="45" customFormat="1" ht="24.75" customHeight="1">
      <c r="A47" s="343" t="s">
        <v>49</v>
      </c>
      <c r="B47" s="344"/>
      <c r="C47" s="30">
        <f>C118+D118+E118</f>
        <v>0</v>
      </c>
      <c r="D47" s="30">
        <f>C119+D119+E119</f>
        <v>0</v>
      </c>
      <c r="E47" s="139">
        <f t="shared" ref="E47:E55" si="19">SUM(C47:D47)</f>
        <v>0</v>
      </c>
      <c r="F47" s="31">
        <f>F118+G118+H118</f>
        <v>0</v>
      </c>
      <c r="G47" s="31">
        <f>F119+G119+H119</f>
        <v>0</v>
      </c>
      <c r="H47" s="141">
        <f t="shared" si="8"/>
        <v>0</v>
      </c>
      <c r="I47" s="32">
        <f>I118+J118+K118</f>
        <v>0</v>
      </c>
      <c r="J47" s="32">
        <f>I119+J119+K119</f>
        <v>0</v>
      </c>
      <c r="K47" s="145">
        <f t="shared" si="10"/>
        <v>0</v>
      </c>
      <c r="L47" s="126">
        <f t="shared" si="12"/>
        <v>0</v>
      </c>
      <c r="M47" s="126">
        <f t="shared" si="12"/>
        <v>0</v>
      </c>
      <c r="N47" s="126">
        <f t="shared" si="13"/>
        <v>0</v>
      </c>
      <c r="O47" s="345"/>
      <c r="P47" s="346"/>
      <c r="Q47" s="346"/>
      <c r="R47" s="346"/>
      <c r="S47" s="347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S47" s="40" t="s">
        <v>189</v>
      </c>
      <c r="AT47" s="41" t="s">
        <v>194</v>
      </c>
      <c r="AU47" s="38"/>
      <c r="AV47" s="38"/>
      <c r="AW47" s="38"/>
      <c r="AX47" s="38"/>
      <c r="AY47" s="38"/>
      <c r="AZ47" s="38"/>
      <c r="BA47" s="38"/>
      <c r="BB47" s="38"/>
      <c r="BC47" s="38"/>
    </row>
    <row r="48" spans="1:374" s="45" customFormat="1" ht="24.75" customHeight="1">
      <c r="A48" s="343" t="s">
        <v>50</v>
      </c>
      <c r="B48" s="344"/>
      <c r="C48" s="30">
        <f>C120+D120+E120</f>
        <v>0</v>
      </c>
      <c r="D48" s="30">
        <f>C121+D121+E121</f>
        <v>0</v>
      </c>
      <c r="E48" s="139">
        <f t="shared" si="19"/>
        <v>0</v>
      </c>
      <c r="F48" s="31">
        <f>F120+G120+H120</f>
        <v>0</v>
      </c>
      <c r="G48" s="31">
        <f>F121+G121+H121</f>
        <v>0</v>
      </c>
      <c r="H48" s="141">
        <f t="shared" si="8"/>
        <v>0</v>
      </c>
      <c r="I48" s="32">
        <f>I120+J120+K120</f>
        <v>0</v>
      </c>
      <c r="J48" s="32">
        <f>I121+J121+K121</f>
        <v>0</v>
      </c>
      <c r="K48" s="145">
        <f t="shared" si="10"/>
        <v>0</v>
      </c>
      <c r="L48" s="126">
        <f t="shared" si="12"/>
        <v>0</v>
      </c>
      <c r="M48" s="126">
        <f t="shared" si="12"/>
        <v>0</v>
      </c>
      <c r="N48" s="126">
        <f t="shared" si="13"/>
        <v>0</v>
      </c>
      <c r="O48" s="345"/>
      <c r="P48" s="346"/>
      <c r="Q48" s="346"/>
      <c r="R48" s="346"/>
      <c r="S48" s="347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S48" s="40" t="s">
        <v>189</v>
      </c>
      <c r="AT48" s="41" t="s">
        <v>195</v>
      </c>
      <c r="AU48" s="38"/>
      <c r="AV48" s="38"/>
      <c r="AW48" s="38"/>
      <c r="AX48" s="38"/>
      <c r="AY48" s="38"/>
      <c r="AZ48" s="38"/>
      <c r="BA48" s="38"/>
      <c r="BB48" s="38"/>
      <c r="BC48" s="38"/>
    </row>
    <row r="49" spans="1:374" s="48" customFormat="1" ht="24.75" customHeight="1">
      <c r="A49" s="343" t="s">
        <v>51</v>
      </c>
      <c r="B49" s="344"/>
      <c r="C49" s="133"/>
      <c r="D49" s="133"/>
      <c r="E49" s="17"/>
      <c r="F49" s="134"/>
      <c r="G49" s="134"/>
      <c r="H49" s="18"/>
      <c r="I49" s="32">
        <f>I122+J122+K122</f>
        <v>0</v>
      </c>
      <c r="J49" s="32">
        <f>I123+J123+K123</f>
        <v>0</v>
      </c>
      <c r="K49" s="145">
        <f t="shared" si="10"/>
        <v>0</v>
      </c>
      <c r="L49" s="126">
        <f t="shared" si="12"/>
        <v>0</v>
      </c>
      <c r="M49" s="126">
        <f t="shared" si="12"/>
        <v>0</v>
      </c>
      <c r="N49" s="126">
        <f t="shared" si="13"/>
        <v>0</v>
      </c>
      <c r="O49" s="345"/>
      <c r="P49" s="346"/>
      <c r="Q49" s="346"/>
      <c r="R49" s="346"/>
      <c r="S49" s="347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45"/>
      <c r="AQ49" s="45"/>
      <c r="AR49" s="45"/>
      <c r="AS49" s="40" t="s">
        <v>189</v>
      </c>
      <c r="AT49" s="41" t="s">
        <v>196</v>
      </c>
      <c r="AU49" s="38"/>
      <c r="AV49" s="38"/>
      <c r="AW49" s="38"/>
      <c r="AX49" s="38"/>
      <c r="AY49" s="38"/>
      <c r="AZ49" s="38"/>
      <c r="BA49" s="38"/>
      <c r="BB49" s="38"/>
      <c r="BC49" s="38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  <c r="GL49" s="45"/>
      <c r="GM49" s="45"/>
      <c r="GN49" s="45"/>
      <c r="GO49" s="45"/>
      <c r="GP49" s="45"/>
      <c r="GQ49" s="45"/>
      <c r="GR49" s="45"/>
      <c r="GS49" s="45"/>
      <c r="GT49" s="45"/>
      <c r="GU49" s="45"/>
      <c r="GV49" s="45"/>
      <c r="GW49" s="45"/>
      <c r="GX49" s="45"/>
      <c r="GY49" s="45"/>
      <c r="GZ49" s="45"/>
      <c r="HA49" s="45"/>
      <c r="HB49" s="45"/>
      <c r="HC49" s="45"/>
      <c r="HD49" s="45"/>
      <c r="HE49" s="45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  <c r="IX49" s="45"/>
      <c r="IY49" s="45"/>
      <c r="IZ49" s="45"/>
      <c r="JA49" s="45"/>
      <c r="JB49" s="45"/>
      <c r="JC49" s="45"/>
      <c r="JD49" s="45"/>
      <c r="JE49" s="45"/>
      <c r="JF49" s="45"/>
      <c r="JG49" s="45"/>
      <c r="JH49" s="45"/>
      <c r="JI49" s="45"/>
      <c r="JJ49" s="45"/>
      <c r="JK49" s="45"/>
      <c r="JL49" s="45"/>
      <c r="JM49" s="45"/>
      <c r="JN49" s="45"/>
      <c r="JO49" s="45"/>
      <c r="JP49" s="45"/>
      <c r="JQ49" s="45"/>
      <c r="JR49" s="45"/>
      <c r="JS49" s="45"/>
      <c r="JT49" s="45"/>
      <c r="JU49" s="45"/>
      <c r="JV49" s="45"/>
      <c r="JW49" s="45"/>
      <c r="JX49" s="45"/>
      <c r="JY49" s="45"/>
      <c r="JZ49" s="45"/>
      <c r="KA49" s="45"/>
      <c r="KB49" s="45"/>
      <c r="KC49" s="45"/>
      <c r="KD49" s="45"/>
      <c r="KE49" s="45"/>
      <c r="KF49" s="45"/>
      <c r="KG49" s="45"/>
      <c r="KH49" s="45"/>
      <c r="KI49" s="45"/>
      <c r="KJ49" s="45"/>
      <c r="KK49" s="45"/>
      <c r="KL49" s="45"/>
      <c r="KM49" s="45"/>
      <c r="KN49" s="45"/>
      <c r="KO49" s="45"/>
      <c r="KP49" s="45"/>
      <c r="KQ49" s="45"/>
      <c r="KR49" s="45"/>
      <c r="KS49" s="45"/>
      <c r="KT49" s="45"/>
      <c r="KU49" s="45"/>
      <c r="KV49" s="45"/>
      <c r="KW49" s="45"/>
      <c r="KX49" s="45"/>
      <c r="KY49" s="45"/>
      <c r="KZ49" s="45"/>
      <c r="LA49" s="45"/>
      <c r="LB49" s="45"/>
      <c r="LC49" s="45"/>
      <c r="LD49" s="45"/>
      <c r="LE49" s="45"/>
      <c r="LF49" s="45"/>
      <c r="LG49" s="45"/>
      <c r="LH49" s="45"/>
      <c r="LI49" s="45"/>
      <c r="LJ49" s="45"/>
      <c r="LK49" s="45"/>
      <c r="LL49" s="45"/>
      <c r="LM49" s="45"/>
      <c r="LN49" s="45"/>
      <c r="LO49" s="45"/>
      <c r="LP49" s="45"/>
      <c r="LQ49" s="45"/>
      <c r="LR49" s="45"/>
      <c r="LS49" s="45"/>
      <c r="LT49" s="45"/>
      <c r="LU49" s="45"/>
      <c r="LV49" s="45"/>
      <c r="LW49" s="45"/>
      <c r="LX49" s="45"/>
      <c r="LY49" s="45"/>
      <c r="LZ49" s="45"/>
      <c r="MA49" s="45"/>
      <c r="MB49" s="45"/>
      <c r="MC49" s="45"/>
      <c r="MD49" s="45"/>
      <c r="ME49" s="45"/>
      <c r="MF49" s="45"/>
      <c r="MG49" s="45"/>
      <c r="MH49" s="45"/>
      <c r="MI49" s="45"/>
      <c r="MJ49" s="45"/>
      <c r="MK49" s="45"/>
      <c r="ML49" s="45"/>
      <c r="MM49" s="45"/>
      <c r="MN49" s="45"/>
      <c r="MO49" s="45"/>
      <c r="MP49" s="45"/>
      <c r="MQ49" s="45"/>
      <c r="MR49" s="45"/>
      <c r="MS49" s="45"/>
      <c r="MT49" s="45"/>
      <c r="MU49" s="45"/>
      <c r="MV49" s="45"/>
      <c r="MW49" s="45"/>
      <c r="MX49" s="45"/>
      <c r="MY49" s="45"/>
      <c r="MZ49" s="45"/>
      <c r="NA49" s="45"/>
      <c r="NB49" s="45"/>
      <c r="NC49" s="45"/>
      <c r="ND49" s="45"/>
      <c r="NE49" s="45"/>
      <c r="NF49" s="45"/>
      <c r="NG49" s="45"/>
      <c r="NH49" s="45"/>
      <c r="NI49" s="45"/>
      <c r="NJ49" s="45"/>
    </row>
    <row r="50" spans="1:374" s="45" customFormat="1" ht="24.75" customHeight="1">
      <c r="A50" s="343" t="s">
        <v>52</v>
      </c>
      <c r="B50" s="344"/>
      <c r="C50" s="30">
        <f>C124+D124+E124</f>
        <v>0</v>
      </c>
      <c r="D50" s="30">
        <f>C125+D125+E125</f>
        <v>0</v>
      </c>
      <c r="E50" s="139">
        <f t="shared" si="19"/>
        <v>0</v>
      </c>
      <c r="F50" s="31">
        <f>F124+G124+H124</f>
        <v>0</v>
      </c>
      <c r="G50" s="31">
        <f>F125+G125+H125</f>
        <v>0</v>
      </c>
      <c r="H50" s="141">
        <f t="shared" si="8"/>
        <v>0</v>
      </c>
      <c r="I50" s="32">
        <f>I124+J124+K124</f>
        <v>0</v>
      </c>
      <c r="J50" s="32">
        <f>I125+J125+K125</f>
        <v>0</v>
      </c>
      <c r="K50" s="145">
        <f t="shared" si="10"/>
        <v>0</v>
      </c>
      <c r="L50" s="126">
        <f t="shared" si="12"/>
        <v>0</v>
      </c>
      <c r="M50" s="126">
        <f t="shared" si="12"/>
        <v>0</v>
      </c>
      <c r="N50" s="126">
        <f t="shared" si="13"/>
        <v>0</v>
      </c>
      <c r="O50" s="345"/>
      <c r="P50" s="346"/>
      <c r="Q50" s="346"/>
      <c r="R50" s="346"/>
      <c r="S50" s="347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S50" s="40" t="s">
        <v>189</v>
      </c>
      <c r="AT50" s="41" t="s">
        <v>197</v>
      </c>
      <c r="AU50" s="38"/>
      <c r="AV50" s="38"/>
      <c r="AW50" s="38"/>
      <c r="AX50" s="38"/>
      <c r="AY50" s="38"/>
      <c r="AZ50" s="38"/>
      <c r="BA50" s="38"/>
      <c r="BB50" s="38"/>
      <c r="BC50" s="38"/>
    </row>
    <row r="51" spans="1:374" s="45" customFormat="1" ht="24.75" customHeight="1">
      <c r="A51" s="343" t="s">
        <v>53</v>
      </c>
      <c r="B51" s="344"/>
      <c r="C51" s="30">
        <f>C126+D126+E126</f>
        <v>0</v>
      </c>
      <c r="D51" s="30">
        <f>C127+D127+E127</f>
        <v>0</v>
      </c>
      <c r="E51" s="139">
        <f t="shared" si="19"/>
        <v>0</v>
      </c>
      <c r="F51" s="31">
        <f>F126+G126+H126</f>
        <v>0</v>
      </c>
      <c r="G51" s="31">
        <f>F127+G127+H127</f>
        <v>0</v>
      </c>
      <c r="H51" s="141">
        <f t="shared" si="8"/>
        <v>0</v>
      </c>
      <c r="I51" s="32">
        <f>I126+J126+K126</f>
        <v>0</v>
      </c>
      <c r="J51" s="32">
        <f>I127+J127+K127</f>
        <v>0</v>
      </c>
      <c r="K51" s="145">
        <f t="shared" si="10"/>
        <v>0</v>
      </c>
      <c r="L51" s="126">
        <f t="shared" si="12"/>
        <v>0</v>
      </c>
      <c r="M51" s="126">
        <f t="shared" si="12"/>
        <v>0</v>
      </c>
      <c r="N51" s="126">
        <f t="shared" si="13"/>
        <v>0</v>
      </c>
      <c r="O51" s="345"/>
      <c r="P51" s="346"/>
      <c r="Q51" s="346"/>
      <c r="R51" s="346"/>
      <c r="S51" s="347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S51" s="40" t="s">
        <v>189</v>
      </c>
      <c r="AT51" s="41" t="s">
        <v>198</v>
      </c>
      <c r="AU51" s="38"/>
      <c r="AV51" s="38"/>
      <c r="AW51" s="38"/>
      <c r="AX51" s="38"/>
      <c r="AY51" s="38"/>
      <c r="AZ51" s="38"/>
      <c r="BA51" s="38"/>
      <c r="BB51" s="38"/>
      <c r="BC51" s="38"/>
    </row>
    <row r="52" spans="1:374" s="45" customFormat="1" ht="24.75" customHeight="1">
      <c r="A52" s="343" t="s">
        <v>54</v>
      </c>
      <c r="B52" s="344"/>
      <c r="C52" s="30">
        <f>C128+D128+E128</f>
        <v>0</v>
      </c>
      <c r="D52" s="30">
        <f>C129+D129+E129</f>
        <v>0</v>
      </c>
      <c r="E52" s="139">
        <f t="shared" si="19"/>
        <v>0</v>
      </c>
      <c r="F52" s="31">
        <f>F128+G128+H128</f>
        <v>0</v>
      </c>
      <c r="G52" s="31">
        <f>F129+G129+H129</f>
        <v>0</v>
      </c>
      <c r="H52" s="141">
        <f t="shared" si="8"/>
        <v>0</v>
      </c>
      <c r="I52" s="32">
        <f>I128+J128+K128</f>
        <v>0</v>
      </c>
      <c r="J52" s="32">
        <f>I129+J129+K129</f>
        <v>0</v>
      </c>
      <c r="K52" s="145">
        <f t="shared" si="10"/>
        <v>0</v>
      </c>
      <c r="L52" s="126">
        <f t="shared" si="12"/>
        <v>0</v>
      </c>
      <c r="M52" s="126">
        <f t="shared" si="12"/>
        <v>0</v>
      </c>
      <c r="N52" s="126">
        <f t="shared" si="13"/>
        <v>0</v>
      </c>
      <c r="O52" s="345"/>
      <c r="P52" s="346"/>
      <c r="Q52" s="346"/>
      <c r="R52" s="346"/>
      <c r="S52" s="347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S52" s="40" t="s">
        <v>189</v>
      </c>
      <c r="AT52" s="41" t="s">
        <v>199</v>
      </c>
      <c r="AU52" s="38"/>
      <c r="AV52" s="38"/>
      <c r="AW52" s="38"/>
      <c r="AX52" s="38"/>
      <c r="AY52" s="38"/>
      <c r="AZ52" s="38"/>
      <c r="BA52" s="38"/>
      <c r="BB52" s="38"/>
      <c r="BC52" s="38"/>
    </row>
    <row r="53" spans="1:374" s="45" customFormat="1" ht="24.75" customHeight="1">
      <c r="A53" s="343" t="s">
        <v>930</v>
      </c>
      <c r="B53" s="344"/>
      <c r="C53" s="30">
        <f>C130+D130+E130</f>
        <v>0</v>
      </c>
      <c r="D53" s="30">
        <f>C131+D131+E131</f>
        <v>0</v>
      </c>
      <c r="E53" s="139">
        <f t="shared" si="19"/>
        <v>0</v>
      </c>
      <c r="F53" s="31">
        <f>F130+G130+H130</f>
        <v>0</v>
      </c>
      <c r="G53" s="31">
        <f>F131+G131+H131</f>
        <v>0</v>
      </c>
      <c r="H53" s="141">
        <f t="shared" si="8"/>
        <v>0</v>
      </c>
      <c r="I53" s="32">
        <f>I130+J130+K130</f>
        <v>0</v>
      </c>
      <c r="J53" s="32">
        <f>I131+J131+K131</f>
        <v>0</v>
      </c>
      <c r="K53" s="145">
        <f t="shared" si="10"/>
        <v>0</v>
      </c>
      <c r="L53" s="126">
        <f t="shared" si="12"/>
        <v>0</v>
      </c>
      <c r="M53" s="126">
        <f t="shared" si="12"/>
        <v>0</v>
      </c>
      <c r="N53" s="126">
        <f t="shared" si="13"/>
        <v>0</v>
      </c>
      <c r="O53" s="161"/>
      <c r="P53" s="161"/>
      <c r="Q53" s="161"/>
      <c r="R53" s="161"/>
      <c r="S53" s="162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S53" s="40"/>
      <c r="AT53" s="41"/>
      <c r="AU53" s="38"/>
      <c r="AV53" s="38"/>
      <c r="AW53" s="38"/>
      <c r="AX53" s="38"/>
      <c r="AY53" s="38"/>
      <c r="AZ53" s="38"/>
      <c r="BA53" s="38"/>
      <c r="BB53" s="38"/>
      <c r="BC53" s="38"/>
    </row>
    <row r="54" spans="1:374" s="45" customFormat="1" ht="24.75" customHeight="1">
      <c r="A54" s="343" t="s">
        <v>932</v>
      </c>
      <c r="B54" s="344"/>
      <c r="C54" s="30">
        <f>C132+D132+E132</f>
        <v>0</v>
      </c>
      <c r="D54" s="30">
        <f>C133+D133+E133</f>
        <v>0</v>
      </c>
      <c r="E54" s="139">
        <f t="shared" si="19"/>
        <v>0</v>
      </c>
      <c r="F54" s="31">
        <f>F132+G132+H132</f>
        <v>0</v>
      </c>
      <c r="G54" s="31">
        <f>F133+G133+H133</f>
        <v>0</v>
      </c>
      <c r="H54" s="141">
        <f t="shared" si="8"/>
        <v>0</v>
      </c>
      <c r="I54" s="32">
        <f>I132+J132+K132</f>
        <v>0</v>
      </c>
      <c r="J54" s="32">
        <f>I133+J133+K133</f>
        <v>0</v>
      </c>
      <c r="K54" s="145">
        <f t="shared" si="10"/>
        <v>0</v>
      </c>
      <c r="L54" s="126">
        <f t="shared" si="12"/>
        <v>0</v>
      </c>
      <c r="M54" s="126">
        <f t="shared" si="12"/>
        <v>0</v>
      </c>
      <c r="N54" s="126">
        <f t="shared" si="13"/>
        <v>0</v>
      </c>
      <c r="O54" s="161"/>
      <c r="P54" s="161"/>
      <c r="Q54" s="161"/>
      <c r="R54" s="161"/>
      <c r="S54" s="162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S54" s="40"/>
      <c r="AT54" s="41"/>
      <c r="AU54" s="38"/>
      <c r="AV54" s="38"/>
      <c r="AW54" s="38"/>
      <c r="AX54" s="38"/>
      <c r="AY54" s="38"/>
      <c r="AZ54" s="38"/>
      <c r="BA54" s="38"/>
      <c r="BB54" s="38"/>
      <c r="BC54" s="38"/>
    </row>
    <row r="55" spans="1:374" s="45" customFormat="1" ht="24.75" customHeight="1">
      <c r="A55" s="343" t="s">
        <v>931</v>
      </c>
      <c r="B55" s="344"/>
      <c r="C55" s="30">
        <f>C134+D134+E134</f>
        <v>0</v>
      </c>
      <c r="D55" s="30">
        <f>C135+D135+E135</f>
        <v>0</v>
      </c>
      <c r="E55" s="139">
        <f t="shared" si="19"/>
        <v>0</v>
      </c>
      <c r="F55" s="31">
        <f>F134+G134+H134</f>
        <v>0</v>
      </c>
      <c r="G55" s="31">
        <f>F135+G135+H135</f>
        <v>0</v>
      </c>
      <c r="H55" s="141">
        <f t="shared" si="8"/>
        <v>0</v>
      </c>
      <c r="I55" s="32">
        <f>I134+J134+K134</f>
        <v>0</v>
      </c>
      <c r="J55" s="32">
        <f>I135+J135+K135</f>
        <v>0</v>
      </c>
      <c r="K55" s="145">
        <f t="shared" si="10"/>
        <v>0</v>
      </c>
      <c r="L55" s="126">
        <f t="shared" si="12"/>
        <v>0</v>
      </c>
      <c r="M55" s="126">
        <f t="shared" si="12"/>
        <v>0</v>
      </c>
      <c r="N55" s="126">
        <f t="shared" si="13"/>
        <v>0</v>
      </c>
      <c r="O55" s="161"/>
      <c r="P55" s="161"/>
      <c r="Q55" s="161"/>
      <c r="R55" s="161"/>
      <c r="S55" s="162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S55" s="40"/>
      <c r="AT55" s="41"/>
      <c r="AU55" s="38"/>
      <c r="AV55" s="38"/>
      <c r="AW55" s="38"/>
      <c r="AX55" s="38"/>
      <c r="AY55" s="38"/>
      <c r="AZ55" s="38"/>
      <c r="BA55" s="38"/>
      <c r="BB55" s="38"/>
      <c r="BC55" s="38"/>
    </row>
    <row r="56" spans="1:374" s="45" customFormat="1" ht="54" customHeight="1">
      <c r="A56" s="352" t="s">
        <v>136</v>
      </c>
      <c r="B56" s="353"/>
      <c r="C56" s="16">
        <f>SUM(C57:C65)</f>
        <v>0</v>
      </c>
      <c r="D56" s="16">
        <f>SUM(D57:D65)</f>
        <v>0</v>
      </c>
      <c r="E56" s="16">
        <f>SUM(C56:D56)</f>
        <v>0</v>
      </c>
      <c r="F56" s="16">
        <f t="shared" ref="F56:G56" si="20">SUM(F57:F65)</f>
        <v>0</v>
      </c>
      <c r="G56" s="16">
        <f t="shared" si="20"/>
        <v>0</v>
      </c>
      <c r="H56" s="16">
        <f t="shared" si="8"/>
        <v>0</v>
      </c>
      <c r="I56" s="16">
        <f>SUM(I57:I66)</f>
        <v>0</v>
      </c>
      <c r="J56" s="16">
        <f>SUM(J57:J66)</f>
        <v>0</v>
      </c>
      <c r="K56" s="16">
        <f t="shared" si="10"/>
        <v>0</v>
      </c>
      <c r="L56" s="16">
        <f t="shared" si="12"/>
        <v>0</v>
      </c>
      <c r="M56" s="16">
        <f t="shared" si="12"/>
        <v>0</v>
      </c>
      <c r="N56" s="16">
        <f t="shared" si="13"/>
        <v>0</v>
      </c>
      <c r="O56" s="340" t="s">
        <v>99</v>
      </c>
      <c r="P56" s="341"/>
      <c r="Q56" s="341"/>
      <c r="R56" s="341"/>
      <c r="S56" s="342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R56" s="38"/>
      <c r="AS56" s="40" t="s">
        <v>189</v>
      </c>
      <c r="AT56" s="41" t="s">
        <v>200</v>
      </c>
      <c r="AU56" s="38"/>
      <c r="AV56" s="38"/>
      <c r="AW56" s="38"/>
      <c r="AX56" s="38"/>
      <c r="AY56" s="38"/>
      <c r="AZ56" s="38"/>
      <c r="BA56" s="38"/>
      <c r="BB56" s="38"/>
      <c r="BC56" s="38"/>
    </row>
    <row r="57" spans="1:374" s="45" customFormat="1" ht="24.75" customHeight="1">
      <c r="A57" s="354" t="s">
        <v>55</v>
      </c>
      <c r="B57" s="355"/>
      <c r="C57" s="30">
        <f>C136+D136+E136</f>
        <v>0</v>
      </c>
      <c r="D57" s="30">
        <f>C137+D137+E137</f>
        <v>0</v>
      </c>
      <c r="E57" s="139">
        <f>SUM(C57:D57)</f>
        <v>0</v>
      </c>
      <c r="F57" s="31">
        <f>F136+G136+H136</f>
        <v>0</v>
      </c>
      <c r="G57" s="31">
        <f>F137+G137+H137</f>
        <v>0</v>
      </c>
      <c r="H57" s="141">
        <f>SUM(F57:G57)</f>
        <v>0</v>
      </c>
      <c r="I57" s="32">
        <f>I136+J136+K136</f>
        <v>0</v>
      </c>
      <c r="J57" s="32">
        <f>I137+J137+K137</f>
        <v>0</v>
      </c>
      <c r="K57" s="145">
        <f>SUM(I57:J57)</f>
        <v>0</v>
      </c>
      <c r="L57" s="126">
        <f t="shared" si="12"/>
        <v>0</v>
      </c>
      <c r="M57" s="126">
        <f t="shared" si="12"/>
        <v>0</v>
      </c>
      <c r="N57" s="126">
        <f t="shared" si="13"/>
        <v>0</v>
      </c>
      <c r="O57" s="356"/>
      <c r="P57" s="357"/>
      <c r="Q57" s="357"/>
      <c r="R57" s="357"/>
      <c r="S57" s="357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R57" s="39"/>
      <c r="AS57" s="40" t="s">
        <v>189</v>
      </c>
      <c r="AT57" s="41" t="s">
        <v>201</v>
      </c>
      <c r="AU57" s="38"/>
      <c r="AV57" s="38"/>
      <c r="AW57" s="38"/>
      <c r="AX57" s="38"/>
      <c r="AY57" s="38"/>
      <c r="AZ57" s="38"/>
      <c r="BA57" s="38"/>
      <c r="BB57" s="38"/>
      <c r="BC57" s="38"/>
    </row>
    <row r="58" spans="1:374" s="45" customFormat="1" ht="24.75" customHeight="1">
      <c r="A58" s="354" t="s">
        <v>56</v>
      </c>
      <c r="B58" s="355"/>
      <c r="C58" s="30">
        <f>C138+D138+E138</f>
        <v>0</v>
      </c>
      <c r="D58" s="30">
        <f>C139+D139+E139</f>
        <v>0</v>
      </c>
      <c r="E58" s="139">
        <f t="shared" ref="E58:E63" si="21">SUM(C58:D58)</f>
        <v>0</v>
      </c>
      <c r="F58" s="31">
        <f>F138+G138+H138</f>
        <v>0</v>
      </c>
      <c r="G58" s="31">
        <f>F139+G139+H139</f>
        <v>0</v>
      </c>
      <c r="H58" s="141">
        <f t="shared" ref="H58:H67" si="22">SUM(F58:G58)</f>
        <v>0</v>
      </c>
      <c r="I58" s="32">
        <f>I138+J138+K138</f>
        <v>0</v>
      </c>
      <c r="J58" s="32">
        <f>I139+J139+K139</f>
        <v>0</v>
      </c>
      <c r="K58" s="145">
        <f t="shared" ref="K58:K75" si="23">SUM(I58:J58)</f>
        <v>0</v>
      </c>
      <c r="L58" s="126">
        <f t="shared" si="12"/>
        <v>0</v>
      </c>
      <c r="M58" s="126">
        <f t="shared" si="12"/>
        <v>0</v>
      </c>
      <c r="N58" s="126">
        <f t="shared" si="13"/>
        <v>0</v>
      </c>
      <c r="O58" s="356"/>
      <c r="P58" s="357"/>
      <c r="Q58" s="357"/>
      <c r="R58" s="357"/>
      <c r="S58" s="357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R58" s="39"/>
      <c r="AS58" s="40" t="s">
        <v>189</v>
      </c>
      <c r="AT58" s="41" t="s">
        <v>202</v>
      </c>
      <c r="AU58" s="38"/>
      <c r="AV58" s="38"/>
      <c r="AW58" s="38"/>
      <c r="AX58" s="38"/>
      <c r="AY58" s="38"/>
      <c r="AZ58" s="38"/>
      <c r="BA58" s="38"/>
      <c r="BB58" s="38"/>
      <c r="BC58" s="38"/>
    </row>
    <row r="59" spans="1:374" s="48" customFormat="1" ht="24.75" customHeight="1">
      <c r="A59" s="354" t="s">
        <v>57</v>
      </c>
      <c r="B59" s="355"/>
      <c r="C59" s="30">
        <f>C140+D140+E140</f>
        <v>0</v>
      </c>
      <c r="D59" s="30">
        <f>C141+D141+E141</f>
        <v>0</v>
      </c>
      <c r="E59" s="139">
        <f t="shared" si="21"/>
        <v>0</v>
      </c>
      <c r="F59" s="31">
        <f>F140+G140+H140</f>
        <v>0</v>
      </c>
      <c r="G59" s="31">
        <f>F141+G141+H141</f>
        <v>0</v>
      </c>
      <c r="H59" s="141">
        <f t="shared" si="22"/>
        <v>0</v>
      </c>
      <c r="I59" s="32">
        <f>I140+J140+K140</f>
        <v>0</v>
      </c>
      <c r="J59" s="32">
        <f>I141+J141+K141</f>
        <v>0</v>
      </c>
      <c r="K59" s="145">
        <f t="shared" si="23"/>
        <v>0</v>
      </c>
      <c r="L59" s="126">
        <f t="shared" si="12"/>
        <v>0</v>
      </c>
      <c r="M59" s="126">
        <f t="shared" si="12"/>
        <v>0</v>
      </c>
      <c r="N59" s="126">
        <f t="shared" si="13"/>
        <v>0</v>
      </c>
      <c r="O59" s="356"/>
      <c r="P59" s="357"/>
      <c r="Q59" s="357"/>
      <c r="R59" s="357"/>
      <c r="S59" s="357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45"/>
      <c r="AQ59" s="45"/>
      <c r="AR59" s="39"/>
      <c r="AS59" s="40" t="s">
        <v>189</v>
      </c>
      <c r="AT59" s="41" t="s">
        <v>203</v>
      </c>
      <c r="AU59" s="38"/>
      <c r="AV59" s="38"/>
      <c r="AW59" s="38"/>
      <c r="AX59" s="38"/>
      <c r="AY59" s="38"/>
      <c r="AZ59" s="38"/>
      <c r="BA59" s="38"/>
      <c r="BB59" s="38"/>
      <c r="BC59" s="38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  <c r="MV59" s="45"/>
      <c r="MW59" s="45"/>
      <c r="MX59" s="45"/>
      <c r="MY59" s="45"/>
      <c r="MZ59" s="45"/>
      <c r="NA59" s="45"/>
      <c r="NB59" s="45"/>
      <c r="NC59" s="45"/>
      <c r="ND59" s="45"/>
      <c r="NE59" s="45"/>
      <c r="NF59" s="45"/>
      <c r="NG59" s="45"/>
      <c r="NH59" s="45"/>
      <c r="NI59" s="45"/>
      <c r="NJ59" s="45"/>
    </row>
    <row r="60" spans="1:374" s="45" customFormat="1" ht="24.75" customHeight="1">
      <c r="A60" s="354" t="s">
        <v>58</v>
      </c>
      <c r="B60" s="355"/>
      <c r="C60" s="30">
        <f>C142+D142+E142</f>
        <v>0</v>
      </c>
      <c r="D60" s="30">
        <f>C143+D143+E143</f>
        <v>0</v>
      </c>
      <c r="E60" s="139">
        <f t="shared" si="21"/>
        <v>0</v>
      </c>
      <c r="F60" s="31">
        <f>F142+G142+H142</f>
        <v>0</v>
      </c>
      <c r="G60" s="31">
        <f>F143+G143+H143</f>
        <v>0</v>
      </c>
      <c r="H60" s="141">
        <f t="shared" si="22"/>
        <v>0</v>
      </c>
      <c r="I60" s="32">
        <f>I142+J142+K142</f>
        <v>0</v>
      </c>
      <c r="J60" s="32">
        <f>I143+J143+K143</f>
        <v>0</v>
      </c>
      <c r="K60" s="145">
        <f t="shared" si="23"/>
        <v>0</v>
      </c>
      <c r="L60" s="126">
        <f t="shared" si="12"/>
        <v>0</v>
      </c>
      <c r="M60" s="126">
        <f t="shared" si="12"/>
        <v>0</v>
      </c>
      <c r="N60" s="126">
        <f t="shared" si="13"/>
        <v>0</v>
      </c>
      <c r="O60" s="356"/>
      <c r="P60" s="357"/>
      <c r="Q60" s="357"/>
      <c r="R60" s="357"/>
      <c r="S60" s="357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R60" s="39"/>
      <c r="AS60" s="40" t="s">
        <v>189</v>
      </c>
      <c r="AT60" s="41" t="s">
        <v>204</v>
      </c>
      <c r="AU60" s="38"/>
      <c r="AV60" s="38"/>
      <c r="AW60" s="38"/>
      <c r="AX60" s="38"/>
      <c r="AY60" s="38"/>
      <c r="AZ60" s="38"/>
      <c r="BA60" s="38"/>
      <c r="BB60" s="38"/>
      <c r="BC60" s="38"/>
    </row>
    <row r="61" spans="1:374" s="45" customFormat="1" ht="24.75" customHeight="1">
      <c r="A61" s="354" t="s">
        <v>59</v>
      </c>
      <c r="B61" s="355"/>
      <c r="C61" s="30">
        <f>C144+D144+E144</f>
        <v>0</v>
      </c>
      <c r="D61" s="30">
        <f>C145+D145+E145</f>
        <v>0</v>
      </c>
      <c r="E61" s="139">
        <f t="shared" si="21"/>
        <v>0</v>
      </c>
      <c r="F61" s="31">
        <f>F144+G144+H144</f>
        <v>0</v>
      </c>
      <c r="G61" s="31">
        <f>F145+G145+H145</f>
        <v>0</v>
      </c>
      <c r="H61" s="141">
        <f t="shared" si="22"/>
        <v>0</v>
      </c>
      <c r="I61" s="32">
        <f>I144+J144+K144</f>
        <v>0</v>
      </c>
      <c r="J61" s="32">
        <f>I145+J145+K145</f>
        <v>0</v>
      </c>
      <c r="K61" s="145">
        <f t="shared" si="23"/>
        <v>0</v>
      </c>
      <c r="L61" s="126">
        <f t="shared" si="12"/>
        <v>0</v>
      </c>
      <c r="M61" s="126">
        <f t="shared" si="12"/>
        <v>0</v>
      </c>
      <c r="N61" s="126">
        <f t="shared" si="13"/>
        <v>0</v>
      </c>
      <c r="O61" s="356"/>
      <c r="P61" s="357"/>
      <c r="Q61" s="357"/>
      <c r="R61" s="357"/>
      <c r="S61" s="357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R61" s="39"/>
      <c r="AS61" s="40" t="s">
        <v>189</v>
      </c>
      <c r="AT61" s="41" t="s">
        <v>205</v>
      </c>
      <c r="AU61" s="38"/>
      <c r="AV61" s="38"/>
      <c r="AW61" s="38"/>
      <c r="AX61" s="38"/>
      <c r="AY61" s="38"/>
      <c r="AZ61" s="38"/>
      <c r="BA61" s="38"/>
      <c r="BB61" s="38"/>
      <c r="BC61" s="38"/>
    </row>
    <row r="62" spans="1:374" s="45" customFormat="1" ht="24.75" customHeight="1">
      <c r="A62" s="354" t="s">
        <v>60</v>
      </c>
      <c r="B62" s="355"/>
      <c r="C62" s="30">
        <f>C146+D146+E146</f>
        <v>0</v>
      </c>
      <c r="D62" s="30">
        <f>C147+D147+E147</f>
        <v>0</v>
      </c>
      <c r="E62" s="139">
        <f t="shared" si="21"/>
        <v>0</v>
      </c>
      <c r="F62" s="31">
        <f>F146+G146+H146</f>
        <v>0</v>
      </c>
      <c r="G62" s="31">
        <f>F147+G147+H147</f>
        <v>0</v>
      </c>
      <c r="H62" s="141">
        <f t="shared" si="22"/>
        <v>0</v>
      </c>
      <c r="I62" s="32">
        <f>I146+J146+K146</f>
        <v>0</v>
      </c>
      <c r="J62" s="32">
        <f>I147+J147+K147</f>
        <v>0</v>
      </c>
      <c r="K62" s="145">
        <f t="shared" si="23"/>
        <v>0</v>
      </c>
      <c r="L62" s="126">
        <f t="shared" si="12"/>
        <v>0</v>
      </c>
      <c r="M62" s="126">
        <f t="shared" si="12"/>
        <v>0</v>
      </c>
      <c r="N62" s="126">
        <f t="shared" si="13"/>
        <v>0</v>
      </c>
      <c r="O62" s="356"/>
      <c r="P62" s="357"/>
      <c r="Q62" s="357"/>
      <c r="R62" s="357"/>
      <c r="S62" s="357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R62" s="39"/>
      <c r="AS62" s="40" t="s">
        <v>189</v>
      </c>
      <c r="AT62" s="41" t="s">
        <v>206</v>
      </c>
      <c r="AU62" s="38"/>
      <c r="AV62" s="38"/>
      <c r="AW62" s="38"/>
      <c r="AX62" s="38"/>
      <c r="AY62" s="38"/>
      <c r="AZ62" s="38"/>
      <c r="BA62" s="38"/>
      <c r="BB62" s="38"/>
      <c r="BC62" s="38"/>
    </row>
    <row r="63" spans="1:374" s="45" customFormat="1" ht="24.75" customHeight="1">
      <c r="A63" s="354" t="s">
        <v>61</v>
      </c>
      <c r="B63" s="355"/>
      <c r="C63" s="30">
        <f>C148+D148+E148</f>
        <v>0</v>
      </c>
      <c r="D63" s="30">
        <f>C149+D149+E149</f>
        <v>0</v>
      </c>
      <c r="E63" s="139">
        <f t="shared" si="21"/>
        <v>0</v>
      </c>
      <c r="F63" s="31">
        <f>F148+G148+H148</f>
        <v>0</v>
      </c>
      <c r="G63" s="31">
        <f>F149+G149+H149</f>
        <v>0</v>
      </c>
      <c r="H63" s="141">
        <f t="shared" si="22"/>
        <v>0</v>
      </c>
      <c r="I63" s="32">
        <f>I148+J148+K148</f>
        <v>0</v>
      </c>
      <c r="J63" s="32">
        <f>I149+J149+K149</f>
        <v>0</v>
      </c>
      <c r="K63" s="145">
        <f t="shared" si="23"/>
        <v>0</v>
      </c>
      <c r="L63" s="126">
        <f t="shared" si="12"/>
        <v>0</v>
      </c>
      <c r="M63" s="126">
        <f t="shared" si="12"/>
        <v>0</v>
      </c>
      <c r="N63" s="126">
        <f t="shared" si="13"/>
        <v>0</v>
      </c>
      <c r="O63" s="356"/>
      <c r="P63" s="357"/>
      <c r="Q63" s="357"/>
      <c r="R63" s="357"/>
      <c r="S63" s="357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R63" s="39"/>
      <c r="AS63" s="40" t="s">
        <v>189</v>
      </c>
      <c r="AT63" s="41" t="s">
        <v>207</v>
      </c>
      <c r="AU63" s="38"/>
      <c r="AV63" s="38"/>
      <c r="AW63" s="38"/>
      <c r="AX63" s="38"/>
      <c r="AY63" s="38"/>
      <c r="AZ63" s="38"/>
      <c r="BA63" s="38"/>
      <c r="BB63" s="38"/>
      <c r="BC63" s="38"/>
    </row>
    <row r="64" spans="1:374" s="45" customFormat="1" ht="24.75" customHeight="1">
      <c r="A64" s="354" t="s">
        <v>62</v>
      </c>
      <c r="B64" s="355"/>
      <c r="C64" s="129"/>
      <c r="D64" s="129"/>
      <c r="E64" s="5"/>
      <c r="F64" s="5"/>
      <c r="G64" s="5"/>
      <c r="H64" s="17"/>
      <c r="I64" s="32">
        <f>I150+J150+K150</f>
        <v>0</v>
      </c>
      <c r="J64" s="32">
        <f>I151+J151+K151</f>
        <v>0</v>
      </c>
      <c r="K64" s="145">
        <f t="shared" si="23"/>
        <v>0</v>
      </c>
      <c r="L64" s="126">
        <f t="shared" si="12"/>
        <v>0</v>
      </c>
      <c r="M64" s="126">
        <f t="shared" si="12"/>
        <v>0</v>
      </c>
      <c r="N64" s="126">
        <f t="shared" si="13"/>
        <v>0</v>
      </c>
      <c r="O64" s="356"/>
      <c r="P64" s="357"/>
      <c r="Q64" s="357"/>
      <c r="R64" s="357"/>
      <c r="S64" s="357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R64" s="39"/>
      <c r="AS64" s="40" t="s">
        <v>189</v>
      </c>
      <c r="AT64" s="41" t="s">
        <v>208</v>
      </c>
      <c r="AU64" s="38"/>
      <c r="AV64" s="38"/>
      <c r="AW64" s="38"/>
      <c r="AX64" s="38"/>
      <c r="AY64" s="38"/>
      <c r="AZ64" s="38"/>
      <c r="BA64" s="38"/>
      <c r="BB64" s="38"/>
      <c r="BC64" s="38"/>
    </row>
    <row r="65" spans="1:374" s="45" customFormat="1" ht="24.75" customHeight="1">
      <c r="A65" s="354" t="s">
        <v>63</v>
      </c>
      <c r="B65" s="355"/>
      <c r="C65" s="129"/>
      <c r="D65" s="129"/>
      <c r="E65" s="5"/>
      <c r="F65" s="7"/>
      <c r="G65" s="22"/>
      <c r="H65" s="20"/>
      <c r="I65" s="32">
        <f>I152+J152+K152</f>
        <v>0</v>
      </c>
      <c r="J65" s="32">
        <f>I153+J153+K153</f>
        <v>0</v>
      </c>
      <c r="K65" s="145">
        <f t="shared" si="23"/>
        <v>0</v>
      </c>
      <c r="L65" s="126">
        <f t="shared" si="12"/>
        <v>0</v>
      </c>
      <c r="M65" s="126">
        <f t="shared" si="12"/>
        <v>0</v>
      </c>
      <c r="N65" s="126">
        <f t="shared" si="13"/>
        <v>0</v>
      </c>
      <c r="O65" s="356"/>
      <c r="P65" s="357"/>
      <c r="Q65" s="357"/>
      <c r="R65" s="357"/>
      <c r="S65" s="357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R65" s="39"/>
      <c r="AS65" s="40" t="s">
        <v>189</v>
      </c>
      <c r="AT65" s="41" t="s">
        <v>209</v>
      </c>
      <c r="AU65" s="38"/>
      <c r="AV65" s="38"/>
      <c r="AW65" s="38"/>
      <c r="AX65" s="38"/>
      <c r="AY65" s="38"/>
      <c r="AZ65" s="38"/>
      <c r="BA65" s="38"/>
      <c r="BB65" s="38"/>
      <c r="BC65" s="38"/>
    </row>
    <row r="66" spans="1:374" s="45" customFormat="1" ht="24.75" customHeight="1">
      <c r="A66" s="354" t="s">
        <v>64</v>
      </c>
      <c r="B66" s="355"/>
      <c r="C66" s="130"/>
      <c r="D66" s="130"/>
      <c r="E66" s="131"/>
      <c r="F66" s="132"/>
      <c r="G66" s="132"/>
      <c r="H66" s="131"/>
      <c r="I66" s="32">
        <f>I154+J154+K154</f>
        <v>0</v>
      </c>
      <c r="J66" s="32">
        <f>I155+J155+K155</f>
        <v>0</v>
      </c>
      <c r="K66" s="145">
        <f t="shared" si="23"/>
        <v>0</v>
      </c>
      <c r="L66" s="126">
        <f t="shared" si="12"/>
        <v>0</v>
      </c>
      <c r="M66" s="126">
        <f t="shared" si="12"/>
        <v>0</v>
      </c>
      <c r="N66" s="126">
        <f t="shared" si="13"/>
        <v>0</v>
      </c>
      <c r="O66" s="356"/>
      <c r="P66" s="357"/>
      <c r="Q66" s="357"/>
      <c r="R66" s="357"/>
      <c r="S66" s="357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R66" s="39"/>
      <c r="AS66" s="40" t="s">
        <v>189</v>
      </c>
      <c r="AT66" s="41" t="s">
        <v>210</v>
      </c>
      <c r="AU66" s="38"/>
      <c r="AV66" s="38"/>
      <c r="AW66" s="38"/>
      <c r="AX66" s="38"/>
      <c r="AY66" s="38"/>
      <c r="AZ66" s="38"/>
      <c r="BA66" s="38"/>
      <c r="BB66" s="38"/>
      <c r="BC66" s="38"/>
    </row>
    <row r="67" spans="1:374" s="45" customFormat="1" ht="21" customHeight="1">
      <c r="A67" s="358" t="s">
        <v>65</v>
      </c>
      <c r="B67" s="359"/>
      <c r="C67" s="15">
        <f>SUM(C68:C75)</f>
        <v>0</v>
      </c>
      <c r="D67" s="15">
        <f>SUM(D68:D75)</f>
        <v>0</v>
      </c>
      <c r="E67" s="15">
        <f>SUM(C67:D67)</f>
        <v>0</v>
      </c>
      <c r="F67" s="15">
        <f t="shared" ref="F67:G67" si="24">SUM(F68:F75)</f>
        <v>0</v>
      </c>
      <c r="G67" s="15">
        <f t="shared" si="24"/>
        <v>0</v>
      </c>
      <c r="H67" s="15">
        <f t="shared" si="22"/>
        <v>0</v>
      </c>
      <c r="I67" s="15">
        <f t="shared" ref="I67:J67" si="25">SUM(I68:I75)</f>
        <v>0</v>
      </c>
      <c r="J67" s="15">
        <f t="shared" si="25"/>
        <v>0</v>
      </c>
      <c r="K67" s="15">
        <f t="shared" si="23"/>
        <v>0</v>
      </c>
      <c r="L67" s="16">
        <f t="shared" si="12"/>
        <v>0</v>
      </c>
      <c r="M67" s="16">
        <f t="shared" si="12"/>
        <v>0</v>
      </c>
      <c r="N67" s="16">
        <f t="shared" si="13"/>
        <v>0</v>
      </c>
      <c r="O67" s="340" t="s">
        <v>100</v>
      </c>
      <c r="P67" s="341"/>
      <c r="Q67" s="341"/>
      <c r="R67" s="341"/>
      <c r="S67" s="342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R67" s="39"/>
      <c r="AS67" s="40" t="s">
        <v>189</v>
      </c>
      <c r="AT67" s="41" t="s">
        <v>211</v>
      </c>
      <c r="AU67" s="38"/>
      <c r="AV67" s="38"/>
      <c r="AW67" s="38"/>
      <c r="AX67" s="38"/>
      <c r="AY67" s="38"/>
      <c r="AZ67" s="38"/>
      <c r="BA67" s="38"/>
      <c r="BB67" s="38"/>
      <c r="BC67" s="38"/>
    </row>
    <row r="68" spans="1:374" s="45" customFormat="1" ht="25.5" customHeight="1">
      <c r="A68" s="360" t="s">
        <v>66</v>
      </c>
      <c r="B68" s="361"/>
      <c r="C68" s="7"/>
      <c r="D68" s="7"/>
      <c r="E68" s="6"/>
      <c r="F68" s="7"/>
      <c r="G68" s="3"/>
      <c r="H68" s="3"/>
      <c r="I68" s="32">
        <f>I156+J156+K156</f>
        <v>0</v>
      </c>
      <c r="J68" s="32">
        <f>I157+J157+K157</f>
        <v>0</v>
      </c>
      <c r="K68" s="145">
        <f t="shared" si="23"/>
        <v>0</v>
      </c>
      <c r="L68" s="126">
        <f t="shared" si="12"/>
        <v>0</v>
      </c>
      <c r="M68" s="126">
        <f t="shared" si="12"/>
        <v>0</v>
      </c>
      <c r="N68" s="126">
        <f t="shared" si="13"/>
        <v>0</v>
      </c>
      <c r="O68" s="362"/>
      <c r="P68" s="363"/>
      <c r="Q68" s="363"/>
      <c r="R68" s="363"/>
      <c r="S68" s="363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R68" s="39"/>
      <c r="AS68" s="40" t="s">
        <v>189</v>
      </c>
      <c r="AT68" s="41" t="s">
        <v>212</v>
      </c>
      <c r="AU68" s="38"/>
      <c r="AV68" s="38"/>
      <c r="AW68" s="38"/>
      <c r="AX68" s="38"/>
      <c r="AY68" s="38"/>
      <c r="AZ68" s="38"/>
      <c r="BA68" s="38"/>
      <c r="BB68" s="38"/>
      <c r="BC68" s="38"/>
    </row>
    <row r="69" spans="1:374" s="45" customFormat="1" ht="24" customHeight="1">
      <c r="A69" s="360" t="s">
        <v>67</v>
      </c>
      <c r="B69" s="361"/>
      <c r="C69" s="7"/>
      <c r="D69" s="7"/>
      <c r="E69" s="6"/>
      <c r="F69" s="7"/>
      <c r="G69" s="3"/>
      <c r="H69" s="3"/>
      <c r="I69" s="32">
        <f>I158+J158+K158</f>
        <v>0</v>
      </c>
      <c r="J69" s="32">
        <f>I159+J159+K159</f>
        <v>0</v>
      </c>
      <c r="K69" s="145">
        <f t="shared" si="23"/>
        <v>0</v>
      </c>
      <c r="L69" s="126">
        <f t="shared" si="12"/>
        <v>0</v>
      </c>
      <c r="M69" s="126">
        <f t="shared" si="12"/>
        <v>0</v>
      </c>
      <c r="N69" s="126">
        <f t="shared" si="13"/>
        <v>0</v>
      </c>
      <c r="O69" s="362"/>
      <c r="P69" s="363"/>
      <c r="Q69" s="363"/>
      <c r="R69" s="363"/>
      <c r="S69" s="363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R69" s="39"/>
      <c r="AS69" s="40" t="s">
        <v>189</v>
      </c>
      <c r="AT69" s="41" t="s">
        <v>213</v>
      </c>
      <c r="AU69" s="38"/>
      <c r="AV69" s="38"/>
      <c r="AW69" s="38"/>
      <c r="AX69" s="38"/>
      <c r="AY69" s="38"/>
      <c r="AZ69" s="38"/>
      <c r="BA69" s="38"/>
      <c r="BB69" s="38"/>
      <c r="BC69" s="38"/>
    </row>
    <row r="70" spans="1:374" s="48" customFormat="1" ht="23.25" customHeight="1">
      <c r="A70" s="360" t="s">
        <v>68</v>
      </c>
      <c r="B70" s="361"/>
      <c r="C70" s="7"/>
      <c r="D70" s="7"/>
      <c r="E70" s="6"/>
      <c r="F70" s="7"/>
      <c r="G70" s="3"/>
      <c r="H70" s="3"/>
      <c r="I70" s="32">
        <f>I160+J160+K160</f>
        <v>0</v>
      </c>
      <c r="J70" s="32">
        <f>I161+J161+K161</f>
        <v>0</v>
      </c>
      <c r="K70" s="145">
        <f t="shared" si="23"/>
        <v>0</v>
      </c>
      <c r="L70" s="126">
        <f t="shared" si="12"/>
        <v>0</v>
      </c>
      <c r="M70" s="126">
        <f t="shared" si="12"/>
        <v>0</v>
      </c>
      <c r="N70" s="126">
        <f t="shared" si="13"/>
        <v>0</v>
      </c>
      <c r="O70" s="362"/>
      <c r="P70" s="363"/>
      <c r="Q70" s="363"/>
      <c r="R70" s="363"/>
      <c r="S70" s="363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45"/>
      <c r="AQ70" s="45"/>
      <c r="AR70" s="39"/>
      <c r="AS70" s="40" t="s">
        <v>189</v>
      </c>
      <c r="AT70" s="41" t="s">
        <v>214</v>
      </c>
      <c r="AU70" s="38"/>
      <c r="AV70" s="38"/>
      <c r="AW70" s="38"/>
      <c r="AX70" s="38"/>
      <c r="AY70" s="38"/>
      <c r="AZ70" s="38"/>
      <c r="BA70" s="38"/>
      <c r="BB70" s="38"/>
      <c r="BC70" s="38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  <c r="GO70" s="45"/>
      <c r="GP70" s="45"/>
      <c r="GQ70" s="45"/>
      <c r="GR70" s="45"/>
      <c r="GS70" s="45"/>
      <c r="GT70" s="45"/>
      <c r="GU70" s="45"/>
      <c r="GV70" s="45"/>
      <c r="GW70" s="45"/>
      <c r="GX70" s="45"/>
      <c r="GY70" s="45"/>
      <c r="GZ70" s="45"/>
      <c r="HA70" s="45"/>
      <c r="HB70" s="45"/>
      <c r="HC70" s="45"/>
      <c r="HD70" s="45"/>
      <c r="HE70" s="45"/>
      <c r="HF70" s="45"/>
      <c r="HG70" s="45"/>
      <c r="HH70" s="45"/>
      <c r="HI70" s="45"/>
      <c r="HJ70" s="45"/>
      <c r="HK70" s="45"/>
      <c r="HL70" s="45"/>
      <c r="HM70" s="45"/>
      <c r="HN70" s="45"/>
      <c r="HO70" s="45"/>
      <c r="HP70" s="45"/>
      <c r="HQ70" s="45"/>
      <c r="HR70" s="45"/>
      <c r="HS70" s="45"/>
      <c r="HT70" s="45"/>
      <c r="HU70" s="45"/>
      <c r="HV70" s="45"/>
      <c r="HW70" s="45"/>
      <c r="HX70" s="45"/>
      <c r="HY70" s="45"/>
      <c r="HZ70" s="45"/>
      <c r="IA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  <c r="IR70" s="45"/>
      <c r="IS70" s="45"/>
      <c r="IT70" s="45"/>
      <c r="IU70" s="45"/>
      <c r="IV70" s="45"/>
      <c r="IW70" s="45"/>
      <c r="IX70" s="45"/>
      <c r="IY70" s="45"/>
      <c r="IZ70" s="45"/>
      <c r="JA70" s="45"/>
      <c r="JB70" s="45"/>
      <c r="JC70" s="45"/>
      <c r="JD70" s="45"/>
      <c r="JE70" s="45"/>
      <c r="JF70" s="45"/>
      <c r="JG70" s="45"/>
      <c r="JH70" s="45"/>
      <c r="JI70" s="45"/>
      <c r="JJ70" s="45"/>
      <c r="JK70" s="45"/>
      <c r="JL70" s="45"/>
      <c r="JM70" s="45"/>
      <c r="JN70" s="45"/>
      <c r="JO70" s="45"/>
      <c r="JP70" s="45"/>
      <c r="JQ70" s="45"/>
      <c r="JR70" s="45"/>
      <c r="JS70" s="45"/>
      <c r="JT70" s="45"/>
      <c r="JU70" s="45"/>
      <c r="JV70" s="45"/>
      <c r="JW70" s="45"/>
      <c r="JX70" s="45"/>
      <c r="JY70" s="45"/>
      <c r="JZ70" s="45"/>
      <c r="KA70" s="45"/>
      <c r="KB70" s="45"/>
      <c r="KC70" s="45"/>
      <c r="KD70" s="45"/>
      <c r="KE70" s="45"/>
      <c r="KF70" s="45"/>
      <c r="KG70" s="45"/>
      <c r="KH70" s="45"/>
      <c r="KI70" s="45"/>
      <c r="KJ70" s="45"/>
      <c r="KK70" s="45"/>
      <c r="KL70" s="45"/>
      <c r="KM70" s="45"/>
      <c r="KN70" s="45"/>
      <c r="KO70" s="45"/>
      <c r="KP70" s="45"/>
      <c r="KQ70" s="45"/>
      <c r="KR70" s="45"/>
      <c r="KS70" s="45"/>
      <c r="KT70" s="45"/>
      <c r="KU70" s="45"/>
      <c r="KV70" s="45"/>
      <c r="KW70" s="45"/>
      <c r="KX70" s="45"/>
      <c r="KY70" s="45"/>
      <c r="KZ70" s="45"/>
      <c r="LA70" s="45"/>
      <c r="LB70" s="45"/>
      <c r="LC70" s="45"/>
      <c r="LD70" s="45"/>
      <c r="LE70" s="45"/>
      <c r="LF70" s="45"/>
      <c r="LG70" s="45"/>
      <c r="LH70" s="45"/>
      <c r="LI70" s="45"/>
      <c r="LJ70" s="45"/>
      <c r="LK70" s="45"/>
      <c r="LL70" s="45"/>
      <c r="LM70" s="45"/>
      <c r="LN70" s="45"/>
      <c r="LO70" s="45"/>
      <c r="LP70" s="45"/>
      <c r="LQ70" s="45"/>
      <c r="LR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  <c r="MI70" s="45"/>
      <c r="MJ70" s="45"/>
      <c r="MK70" s="45"/>
      <c r="ML70" s="45"/>
      <c r="MM70" s="45"/>
      <c r="MN70" s="45"/>
      <c r="MO70" s="45"/>
      <c r="MP70" s="45"/>
      <c r="MQ70" s="45"/>
      <c r="MR70" s="45"/>
      <c r="MS70" s="45"/>
      <c r="MT70" s="45"/>
      <c r="MU70" s="45"/>
      <c r="MV70" s="45"/>
      <c r="MW70" s="45"/>
      <c r="MX70" s="45"/>
      <c r="MY70" s="45"/>
      <c r="MZ70" s="45"/>
      <c r="NA70" s="45"/>
      <c r="NB70" s="45"/>
      <c r="NC70" s="45"/>
      <c r="ND70" s="45"/>
      <c r="NE70" s="45"/>
      <c r="NF70" s="45"/>
      <c r="NG70" s="45"/>
      <c r="NH70" s="45"/>
      <c r="NI70" s="45"/>
      <c r="NJ70" s="45"/>
    </row>
    <row r="71" spans="1:374" s="45" customFormat="1" ht="30" customHeight="1">
      <c r="A71" s="360" t="s">
        <v>69</v>
      </c>
      <c r="B71" s="361"/>
      <c r="C71" s="7"/>
      <c r="D71" s="7"/>
      <c r="E71" s="6"/>
      <c r="F71" s="7"/>
      <c r="G71" s="3"/>
      <c r="H71" s="3"/>
      <c r="I71" s="32">
        <f>I162+J162+K162</f>
        <v>0</v>
      </c>
      <c r="J71" s="32">
        <f>I163+J163+K163</f>
        <v>0</v>
      </c>
      <c r="K71" s="145">
        <f t="shared" si="23"/>
        <v>0</v>
      </c>
      <c r="L71" s="126">
        <f t="shared" si="12"/>
        <v>0</v>
      </c>
      <c r="M71" s="126">
        <f t="shared" si="12"/>
        <v>0</v>
      </c>
      <c r="N71" s="126">
        <f t="shared" si="13"/>
        <v>0</v>
      </c>
      <c r="O71" s="362"/>
      <c r="P71" s="363"/>
      <c r="Q71" s="363"/>
      <c r="R71" s="363"/>
      <c r="S71" s="363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R71" s="39"/>
      <c r="AS71" s="40" t="s">
        <v>189</v>
      </c>
      <c r="AT71" s="41" t="s">
        <v>215</v>
      </c>
      <c r="AU71" s="38"/>
      <c r="AV71" s="38"/>
      <c r="AW71" s="38"/>
      <c r="AX71" s="38"/>
      <c r="AY71" s="38"/>
      <c r="AZ71" s="38"/>
      <c r="BA71" s="38"/>
      <c r="BB71" s="38"/>
      <c r="BC71" s="38"/>
    </row>
    <row r="72" spans="1:374" s="45" customFormat="1" ht="24" customHeight="1">
      <c r="A72" s="360" t="s">
        <v>70</v>
      </c>
      <c r="B72" s="361"/>
      <c r="C72" s="7"/>
      <c r="D72" s="7"/>
      <c r="E72" s="6"/>
      <c r="F72" s="7"/>
      <c r="G72" s="3"/>
      <c r="H72" s="3"/>
      <c r="I72" s="32">
        <f>I164+J164+K164</f>
        <v>0</v>
      </c>
      <c r="J72" s="32">
        <f>I165+J165+K165</f>
        <v>0</v>
      </c>
      <c r="K72" s="145">
        <f t="shared" si="23"/>
        <v>0</v>
      </c>
      <c r="L72" s="126">
        <f t="shared" si="12"/>
        <v>0</v>
      </c>
      <c r="M72" s="126">
        <f t="shared" si="12"/>
        <v>0</v>
      </c>
      <c r="N72" s="126">
        <f t="shared" si="13"/>
        <v>0</v>
      </c>
      <c r="O72" s="362"/>
      <c r="P72" s="363"/>
      <c r="Q72" s="363"/>
      <c r="R72" s="363"/>
      <c r="S72" s="363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R72" s="39"/>
      <c r="AS72" s="40" t="s">
        <v>189</v>
      </c>
      <c r="AT72" s="41" t="s">
        <v>216</v>
      </c>
      <c r="AU72" s="38"/>
      <c r="AV72" s="38"/>
      <c r="AW72" s="38"/>
      <c r="AX72" s="38"/>
      <c r="AY72" s="38"/>
      <c r="AZ72" s="38"/>
      <c r="BA72" s="38"/>
      <c r="BB72" s="38"/>
      <c r="BC72" s="38"/>
    </row>
    <row r="73" spans="1:374" s="45" customFormat="1" ht="28.5" customHeight="1">
      <c r="A73" s="360" t="s">
        <v>71</v>
      </c>
      <c r="B73" s="361"/>
      <c r="C73" s="7"/>
      <c r="D73" s="7"/>
      <c r="E73" s="6"/>
      <c r="F73" s="7"/>
      <c r="G73" s="3"/>
      <c r="H73" s="3"/>
      <c r="I73" s="32">
        <f>I166+J166+K166</f>
        <v>0</v>
      </c>
      <c r="J73" s="32">
        <f>I167+J167+K167</f>
        <v>0</v>
      </c>
      <c r="K73" s="145">
        <f t="shared" si="23"/>
        <v>0</v>
      </c>
      <c r="L73" s="126">
        <f t="shared" si="12"/>
        <v>0</v>
      </c>
      <c r="M73" s="126">
        <f t="shared" si="12"/>
        <v>0</v>
      </c>
      <c r="N73" s="126">
        <f t="shared" si="13"/>
        <v>0</v>
      </c>
      <c r="O73" s="362"/>
      <c r="P73" s="363"/>
      <c r="Q73" s="363"/>
      <c r="R73" s="363"/>
      <c r="S73" s="363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R73" s="39"/>
      <c r="AS73" s="40" t="s">
        <v>189</v>
      </c>
      <c r="AT73" s="41" t="s">
        <v>217</v>
      </c>
      <c r="AU73" s="38"/>
      <c r="AV73" s="38"/>
      <c r="AW73" s="38"/>
      <c r="AX73" s="38"/>
      <c r="AY73" s="38"/>
      <c r="AZ73" s="38"/>
      <c r="BA73" s="38"/>
      <c r="BB73" s="38"/>
      <c r="BC73" s="38"/>
    </row>
    <row r="74" spans="1:374" s="45" customFormat="1" ht="36.75" customHeight="1">
      <c r="A74" s="360" t="s">
        <v>72</v>
      </c>
      <c r="B74" s="361"/>
      <c r="C74" s="7"/>
      <c r="D74" s="7"/>
      <c r="E74" s="6"/>
      <c r="F74" s="7"/>
      <c r="G74" s="3"/>
      <c r="H74" s="3"/>
      <c r="I74" s="32">
        <f>I168+J168+K168</f>
        <v>0</v>
      </c>
      <c r="J74" s="32">
        <f>I169+J169+K169</f>
        <v>0</v>
      </c>
      <c r="K74" s="145">
        <f t="shared" si="23"/>
        <v>0</v>
      </c>
      <c r="L74" s="126">
        <f t="shared" si="12"/>
        <v>0</v>
      </c>
      <c r="M74" s="126">
        <f t="shared" si="12"/>
        <v>0</v>
      </c>
      <c r="N74" s="126">
        <f t="shared" si="13"/>
        <v>0</v>
      </c>
      <c r="O74" s="362"/>
      <c r="P74" s="363"/>
      <c r="Q74" s="363"/>
      <c r="R74" s="363"/>
      <c r="S74" s="363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R74" s="39"/>
      <c r="AS74" s="40" t="s">
        <v>189</v>
      </c>
      <c r="AT74" s="41" t="s">
        <v>218</v>
      </c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374" s="45" customFormat="1" ht="29.25" customHeight="1">
      <c r="A75" s="360" t="s">
        <v>73</v>
      </c>
      <c r="B75" s="361"/>
      <c r="C75" s="7"/>
      <c r="D75" s="7"/>
      <c r="E75" s="6"/>
      <c r="F75" s="7"/>
      <c r="G75" s="3"/>
      <c r="H75" s="3"/>
      <c r="I75" s="32">
        <f>I170+J170+K170</f>
        <v>0</v>
      </c>
      <c r="J75" s="32">
        <f>I171+J171+K171</f>
        <v>0</v>
      </c>
      <c r="K75" s="145">
        <f t="shared" si="23"/>
        <v>0</v>
      </c>
      <c r="L75" s="126">
        <f t="shared" si="12"/>
        <v>0</v>
      </c>
      <c r="M75" s="126">
        <f t="shared" si="12"/>
        <v>0</v>
      </c>
      <c r="N75" s="126">
        <f t="shared" si="13"/>
        <v>0</v>
      </c>
      <c r="O75" s="362"/>
      <c r="P75" s="363"/>
      <c r="Q75" s="363"/>
      <c r="R75" s="363"/>
      <c r="S75" s="363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R75" s="39"/>
      <c r="AS75" s="40" t="s">
        <v>189</v>
      </c>
      <c r="AT75" s="41" t="s">
        <v>219</v>
      </c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374" s="45" customFormat="1" ht="29.25" customHeight="1">
      <c r="A76" s="366" t="s">
        <v>146</v>
      </c>
      <c r="B76" s="367"/>
      <c r="C76" s="319" t="s">
        <v>89</v>
      </c>
      <c r="D76" s="320"/>
      <c r="E76" s="321"/>
      <c r="F76" s="322" t="s">
        <v>105</v>
      </c>
      <c r="G76" s="322"/>
      <c r="H76" s="322"/>
      <c r="I76" s="323" t="s">
        <v>106</v>
      </c>
      <c r="J76" s="323"/>
      <c r="K76" s="323"/>
      <c r="L76" s="299" t="s">
        <v>142</v>
      </c>
      <c r="M76" s="299"/>
      <c r="N76" s="299"/>
      <c r="O76" s="370" t="s">
        <v>145</v>
      </c>
      <c r="P76" s="370"/>
      <c r="Q76" s="370"/>
      <c r="R76" s="370"/>
      <c r="S76" s="370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R76" s="39"/>
      <c r="AS76" s="40" t="s">
        <v>189</v>
      </c>
      <c r="AT76" s="41" t="s">
        <v>220</v>
      </c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374" s="45" customFormat="1" ht="58.5" customHeight="1">
      <c r="A77" s="368"/>
      <c r="B77" s="369"/>
      <c r="C77" s="146" t="s">
        <v>102</v>
      </c>
      <c r="D77" s="167" t="s">
        <v>141</v>
      </c>
      <c r="E77" s="21" t="s">
        <v>140</v>
      </c>
      <c r="F77" s="147" t="s">
        <v>102</v>
      </c>
      <c r="G77" s="167" t="s">
        <v>141</v>
      </c>
      <c r="H77" s="21" t="s">
        <v>140</v>
      </c>
      <c r="I77" s="148" t="s">
        <v>102</v>
      </c>
      <c r="J77" s="167" t="s">
        <v>141</v>
      </c>
      <c r="K77" s="21" t="s">
        <v>140</v>
      </c>
      <c r="L77" s="127" t="s">
        <v>102</v>
      </c>
      <c r="M77" s="167" t="s">
        <v>141</v>
      </c>
      <c r="N77" s="21" t="s">
        <v>140</v>
      </c>
      <c r="O77" s="370"/>
      <c r="P77" s="370"/>
      <c r="Q77" s="370"/>
      <c r="R77" s="370"/>
      <c r="S77" s="370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R77" s="39"/>
      <c r="AS77" s="40" t="s">
        <v>189</v>
      </c>
      <c r="AT77" s="41" t="s">
        <v>221</v>
      </c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374" ht="15" customHeight="1">
      <c r="A78" s="364" t="str">
        <f>A25</f>
        <v>Neural tube defect</v>
      </c>
      <c r="B78" s="14" t="s">
        <v>15</v>
      </c>
      <c r="C78" s="149"/>
      <c r="D78" s="149"/>
      <c r="E78" s="149"/>
      <c r="F78" s="150"/>
      <c r="G78" s="150"/>
      <c r="H78" s="150"/>
      <c r="I78" s="151"/>
      <c r="J78" s="151"/>
      <c r="K78" s="151"/>
      <c r="L78" s="126">
        <f>SUM(C78,F78,I78)</f>
        <v>0</v>
      </c>
      <c r="M78" s="126">
        <f>SUM(D78,G78,J78)</f>
        <v>0</v>
      </c>
      <c r="N78" s="126">
        <f>SUM(E78,H78,K78)</f>
        <v>0</v>
      </c>
      <c r="O78" s="365"/>
      <c r="P78" s="365"/>
      <c r="Q78" s="365"/>
      <c r="R78" s="365"/>
      <c r="S78" s="365"/>
      <c r="AS78" s="40" t="s">
        <v>189</v>
      </c>
      <c r="AT78" s="41" t="s">
        <v>222</v>
      </c>
      <c r="AU78" s="38"/>
      <c r="AV78" s="38"/>
      <c r="AW78" s="38"/>
      <c r="AX78" s="38"/>
    </row>
    <row r="79" spans="1:374" ht="15" customHeight="1">
      <c r="A79" s="364"/>
      <c r="B79" s="14" t="s">
        <v>16</v>
      </c>
      <c r="C79" s="149"/>
      <c r="D79" s="149"/>
      <c r="E79" s="149"/>
      <c r="F79" s="150"/>
      <c r="G79" s="150"/>
      <c r="H79" s="150"/>
      <c r="I79" s="151"/>
      <c r="J79" s="151"/>
      <c r="K79" s="151"/>
      <c r="L79" s="126">
        <f t="shared" ref="L79:N156" si="26">SUM(C79,F79,I79)</f>
        <v>0</v>
      </c>
      <c r="M79" s="126">
        <f t="shared" si="26"/>
        <v>0</v>
      </c>
      <c r="N79" s="126">
        <f t="shared" si="26"/>
        <v>0</v>
      </c>
      <c r="O79" s="365"/>
      <c r="P79" s="365"/>
      <c r="Q79" s="365"/>
      <c r="R79" s="365"/>
      <c r="S79" s="365"/>
      <c r="AS79" s="40" t="s">
        <v>223</v>
      </c>
      <c r="AT79" s="41" t="s">
        <v>224</v>
      </c>
      <c r="AU79" s="38"/>
      <c r="AV79" s="38"/>
      <c r="AW79" s="38"/>
      <c r="AX79" s="38"/>
    </row>
    <row r="80" spans="1:374" ht="19.5" customHeight="1">
      <c r="A80" s="364" t="s">
        <v>32</v>
      </c>
      <c r="B80" s="14" t="s">
        <v>15</v>
      </c>
      <c r="C80" s="149"/>
      <c r="D80" s="149"/>
      <c r="E80" s="149"/>
      <c r="F80" s="150"/>
      <c r="G80" s="150"/>
      <c r="H80" s="150"/>
      <c r="I80" s="151"/>
      <c r="J80" s="151"/>
      <c r="K80" s="151"/>
      <c r="L80" s="126">
        <f t="shared" si="26"/>
        <v>0</v>
      </c>
      <c r="M80" s="126">
        <f t="shared" si="26"/>
        <v>0</v>
      </c>
      <c r="N80" s="126">
        <f t="shared" si="26"/>
        <v>0</v>
      </c>
      <c r="O80" s="365"/>
      <c r="P80" s="365"/>
      <c r="Q80" s="365"/>
      <c r="R80" s="365"/>
      <c r="S80" s="365"/>
      <c r="AS80" s="40" t="s">
        <v>223</v>
      </c>
      <c r="AT80" s="41" t="s">
        <v>225</v>
      </c>
      <c r="AU80" s="38"/>
      <c r="AV80" s="38"/>
      <c r="AW80" s="38"/>
      <c r="AX80" s="38"/>
    </row>
    <row r="81" spans="1:50" ht="15" customHeight="1">
      <c r="A81" s="364"/>
      <c r="B81" s="14" t="s">
        <v>16</v>
      </c>
      <c r="C81" s="149"/>
      <c r="D81" s="149"/>
      <c r="E81" s="149"/>
      <c r="F81" s="150"/>
      <c r="G81" s="150"/>
      <c r="H81" s="150"/>
      <c r="I81" s="151"/>
      <c r="J81" s="151"/>
      <c r="K81" s="151"/>
      <c r="L81" s="126">
        <f t="shared" si="26"/>
        <v>0</v>
      </c>
      <c r="M81" s="126">
        <f t="shared" si="26"/>
        <v>0</v>
      </c>
      <c r="N81" s="126">
        <f t="shared" si="26"/>
        <v>0</v>
      </c>
      <c r="O81" s="365"/>
      <c r="P81" s="365"/>
      <c r="Q81" s="365"/>
      <c r="R81" s="365"/>
      <c r="S81" s="365"/>
      <c r="AS81" s="40" t="s">
        <v>223</v>
      </c>
      <c r="AT81" s="41" t="s">
        <v>226</v>
      </c>
      <c r="AU81" s="38"/>
      <c r="AV81" s="38"/>
      <c r="AW81" s="38"/>
      <c r="AX81" s="38"/>
    </row>
    <row r="82" spans="1:50" ht="15" customHeight="1">
      <c r="A82" s="364" t="s">
        <v>33</v>
      </c>
      <c r="B82" s="14" t="s">
        <v>15</v>
      </c>
      <c r="C82" s="149"/>
      <c r="D82" s="149"/>
      <c r="E82" s="149"/>
      <c r="F82" s="150"/>
      <c r="G82" s="150"/>
      <c r="H82" s="150"/>
      <c r="I82" s="151"/>
      <c r="J82" s="151"/>
      <c r="K82" s="151"/>
      <c r="L82" s="126">
        <f t="shared" si="26"/>
        <v>0</v>
      </c>
      <c r="M82" s="126">
        <f t="shared" si="26"/>
        <v>0</v>
      </c>
      <c r="N82" s="126">
        <f t="shared" si="26"/>
        <v>0</v>
      </c>
      <c r="O82" s="365"/>
      <c r="P82" s="365"/>
      <c r="Q82" s="365"/>
      <c r="R82" s="365"/>
      <c r="S82" s="365"/>
      <c r="AS82" s="40" t="s">
        <v>223</v>
      </c>
      <c r="AT82" s="41" t="s">
        <v>227</v>
      </c>
      <c r="AU82" s="38"/>
      <c r="AV82" s="38"/>
      <c r="AW82" s="38"/>
      <c r="AX82" s="38"/>
    </row>
    <row r="83" spans="1:50" ht="15" customHeight="1">
      <c r="A83" s="364"/>
      <c r="B83" s="14" t="s">
        <v>16</v>
      </c>
      <c r="C83" s="149"/>
      <c r="D83" s="149"/>
      <c r="E83" s="149"/>
      <c r="F83" s="150"/>
      <c r="G83" s="150"/>
      <c r="H83" s="150"/>
      <c r="I83" s="151"/>
      <c r="J83" s="151"/>
      <c r="K83" s="151"/>
      <c r="L83" s="126">
        <f t="shared" si="26"/>
        <v>0</v>
      </c>
      <c r="M83" s="126">
        <f t="shared" si="26"/>
        <v>0</v>
      </c>
      <c r="N83" s="126">
        <f t="shared" si="26"/>
        <v>0</v>
      </c>
      <c r="O83" s="365"/>
      <c r="P83" s="365"/>
      <c r="Q83" s="365"/>
      <c r="R83" s="365"/>
      <c r="S83" s="365"/>
      <c r="AS83" s="40" t="s">
        <v>223</v>
      </c>
      <c r="AT83" s="41" t="s">
        <v>228</v>
      </c>
      <c r="AU83" s="38"/>
      <c r="AV83" s="38"/>
      <c r="AW83" s="38"/>
      <c r="AX83" s="38"/>
    </row>
    <row r="84" spans="1:50" ht="15" customHeight="1">
      <c r="A84" s="364" t="s">
        <v>34</v>
      </c>
      <c r="B84" s="14" t="s">
        <v>15</v>
      </c>
      <c r="C84" s="149"/>
      <c r="D84" s="149"/>
      <c r="E84" s="149"/>
      <c r="F84" s="150"/>
      <c r="G84" s="150"/>
      <c r="H84" s="150"/>
      <c r="I84" s="151"/>
      <c r="J84" s="151"/>
      <c r="K84" s="151"/>
      <c r="L84" s="126">
        <f t="shared" si="26"/>
        <v>0</v>
      </c>
      <c r="M84" s="126">
        <f t="shared" si="26"/>
        <v>0</v>
      </c>
      <c r="N84" s="126">
        <f t="shared" si="26"/>
        <v>0</v>
      </c>
      <c r="O84" s="372"/>
      <c r="P84" s="373"/>
      <c r="Q84" s="373"/>
      <c r="R84" s="373"/>
      <c r="S84" s="374"/>
      <c r="AS84" s="40" t="s">
        <v>223</v>
      </c>
      <c r="AT84" s="41" t="s">
        <v>229</v>
      </c>
      <c r="AU84" s="38"/>
      <c r="AV84" s="38"/>
      <c r="AW84" s="38"/>
      <c r="AX84" s="38"/>
    </row>
    <row r="85" spans="1:50" ht="15" customHeight="1">
      <c r="A85" s="364"/>
      <c r="B85" s="14" t="s">
        <v>16</v>
      </c>
      <c r="C85" s="149"/>
      <c r="D85" s="149"/>
      <c r="E85" s="149"/>
      <c r="F85" s="150"/>
      <c r="G85" s="150"/>
      <c r="H85" s="150"/>
      <c r="I85" s="151"/>
      <c r="J85" s="151"/>
      <c r="K85" s="151"/>
      <c r="L85" s="126">
        <f t="shared" si="26"/>
        <v>0</v>
      </c>
      <c r="M85" s="126">
        <f t="shared" si="26"/>
        <v>0</v>
      </c>
      <c r="N85" s="126">
        <f t="shared" si="26"/>
        <v>0</v>
      </c>
      <c r="O85" s="365"/>
      <c r="P85" s="365"/>
      <c r="Q85" s="365"/>
      <c r="R85" s="365"/>
      <c r="S85" s="365"/>
      <c r="AS85" s="40" t="s">
        <v>223</v>
      </c>
      <c r="AT85" s="41" t="s">
        <v>230</v>
      </c>
      <c r="AU85" s="38"/>
      <c r="AV85" s="38"/>
      <c r="AW85" s="38"/>
      <c r="AX85" s="38"/>
    </row>
    <row r="86" spans="1:50" ht="15" customHeight="1">
      <c r="A86" s="371" t="s">
        <v>94</v>
      </c>
      <c r="B86" s="14" t="s">
        <v>15</v>
      </c>
      <c r="C86" s="149"/>
      <c r="D86" s="149"/>
      <c r="E86" s="149"/>
      <c r="F86" s="150"/>
      <c r="G86" s="150"/>
      <c r="H86" s="150"/>
      <c r="I86" s="151"/>
      <c r="J86" s="151"/>
      <c r="K86" s="151"/>
      <c r="L86" s="126">
        <f t="shared" si="26"/>
        <v>0</v>
      </c>
      <c r="M86" s="126">
        <f t="shared" si="26"/>
        <v>0</v>
      </c>
      <c r="N86" s="126">
        <f t="shared" si="26"/>
        <v>0</v>
      </c>
      <c r="O86" s="365"/>
      <c r="P86" s="365"/>
      <c r="Q86" s="365"/>
      <c r="R86" s="365"/>
      <c r="S86" s="365"/>
      <c r="AS86" s="40" t="s">
        <v>223</v>
      </c>
      <c r="AT86" s="41" t="s">
        <v>231</v>
      </c>
      <c r="AU86" s="38"/>
      <c r="AV86" s="38"/>
      <c r="AW86" s="38"/>
      <c r="AX86" s="38"/>
    </row>
    <row r="87" spans="1:50" ht="15" customHeight="1">
      <c r="A87" s="371"/>
      <c r="B87" s="14" t="s">
        <v>16</v>
      </c>
      <c r="C87" s="149"/>
      <c r="D87" s="149"/>
      <c r="E87" s="149"/>
      <c r="F87" s="150"/>
      <c r="G87" s="150"/>
      <c r="H87" s="150"/>
      <c r="I87" s="151"/>
      <c r="J87" s="151"/>
      <c r="K87" s="151"/>
      <c r="L87" s="126">
        <f t="shared" si="26"/>
        <v>0</v>
      </c>
      <c r="M87" s="126">
        <f t="shared" si="26"/>
        <v>0</v>
      </c>
      <c r="N87" s="126">
        <f t="shared" si="26"/>
        <v>0</v>
      </c>
      <c r="O87" s="365"/>
      <c r="P87" s="365"/>
      <c r="Q87" s="365"/>
      <c r="R87" s="365"/>
      <c r="S87" s="365"/>
      <c r="AS87" s="40" t="s">
        <v>223</v>
      </c>
      <c r="AT87" s="41" t="s">
        <v>232</v>
      </c>
      <c r="AU87" s="38"/>
      <c r="AV87" s="38"/>
      <c r="AW87" s="38"/>
      <c r="AX87" s="38"/>
    </row>
    <row r="88" spans="1:50" ht="15" customHeight="1">
      <c r="A88" s="364" t="s">
        <v>36</v>
      </c>
      <c r="B88" s="14" t="s">
        <v>15</v>
      </c>
      <c r="C88" s="149"/>
      <c r="D88" s="149"/>
      <c r="E88" s="149"/>
      <c r="F88" s="150"/>
      <c r="G88" s="150"/>
      <c r="H88" s="150"/>
      <c r="I88" s="151"/>
      <c r="J88" s="151"/>
      <c r="K88" s="151"/>
      <c r="L88" s="126">
        <f t="shared" si="26"/>
        <v>0</v>
      </c>
      <c r="M88" s="126">
        <f t="shared" si="26"/>
        <v>0</v>
      </c>
      <c r="N88" s="126">
        <f t="shared" si="26"/>
        <v>0</v>
      </c>
      <c r="O88" s="365"/>
      <c r="P88" s="365"/>
      <c r="Q88" s="365"/>
      <c r="R88" s="365"/>
      <c r="S88" s="365"/>
      <c r="AS88" s="40" t="s">
        <v>223</v>
      </c>
      <c r="AT88" s="41" t="s">
        <v>233</v>
      </c>
      <c r="AU88" s="38"/>
      <c r="AV88" s="38"/>
      <c r="AW88" s="38"/>
      <c r="AX88" s="38"/>
    </row>
    <row r="89" spans="1:50" ht="15" customHeight="1">
      <c r="A89" s="364"/>
      <c r="B89" s="14" t="s">
        <v>16</v>
      </c>
      <c r="C89" s="149"/>
      <c r="D89" s="149"/>
      <c r="E89" s="149"/>
      <c r="F89" s="150"/>
      <c r="G89" s="150"/>
      <c r="H89" s="150"/>
      <c r="I89" s="151"/>
      <c r="J89" s="151"/>
      <c r="K89" s="151"/>
      <c r="L89" s="126">
        <f t="shared" si="26"/>
        <v>0</v>
      </c>
      <c r="M89" s="126">
        <f t="shared" si="26"/>
        <v>0</v>
      </c>
      <c r="N89" s="126">
        <f t="shared" si="26"/>
        <v>0</v>
      </c>
      <c r="O89" s="365"/>
      <c r="P89" s="365"/>
      <c r="Q89" s="365"/>
      <c r="R89" s="365"/>
      <c r="S89" s="365"/>
      <c r="AS89" s="40" t="s">
        <v>223</v>
      </c>
      <c r="AT89" s="41" t="s">
        <v>234</v>
      </c>
      <c r="AU89" s="38"/>
      <c r="AV89" s="38"/>
      <c r="AW89" s="38"/>
      <c r="AX89" s="38"/>
    </row>
    <row r="90" spans="1:50" ht="15" customHeight="1">
      <c r="A90" s="364" t="s">
        <v>37</v>
      </c>
      <c r="B90" s="14" t="s">
        <v>15</v>
      </c>
      <c r="C90" s="149"/>
      <c r="D90" s="149"/>
      <c r="E90" s="149"/>
      <c r="F90" s="150"/>
      <c r="G90" s="150"/>
      <c r="H90" s="150"/>
      <c r="I90" s="151"/>
      <c r="J90" s="151"/>
      <c r="K90" s="151"/>
      <c r="L90" s="126">
        <f t="shared" si="26"/>
        <v>0</v>
      </c>
      <c r="M90" s="126">
        <f t="shared" si="26"/>
        <v>0</v>
      </c>
      <c r="N90" s="126">
        <f t="shared" si="26"/>
        <v>0</v>
      </c>
      <c r="O90" s="365"/>
      <c r="P90" s="365"/>
      <c r="Q90" s="365"/>
      <c r="R90" s="365"/>
      <c r="S90" s="365"/>
      <c r="AS90" s="40" t="s">
        <v>223</v>
      </c>
      <c r="AT90" s="41" t="s">
        <v>235</v>
      </c>
      <c r="AU90" s="38"/>
      <c r="AV90" s="38"/>
      <c r="AW90" s="38"/>
      <c r="AX90" s="38"/>
    </row>
    <row r="91" spans="1:50" ht="15" customHeight="1">
      <c r="A91" s="364"/>
      <c r="B91" s="14" t="s">
        <v>16</v>
      </c>
      <c r="C91" s="149"/>
      <c r="D91" s="149"/>
      <c r="E91" s="149"/>
      <c r="F91" s="150"/>
      <c r="G91" s="150"/>
      <c r="H91" s="150"/>
      <c r="I91" s="151"/>
      <c r="J91" s="151"/>
      <c r="K91" s="151"/>
      <c r="L91" s="126">
        <f t="shared" si="26"/>
        <v>0</v>
      </c>
      <c r="M91" s="126">
        <f t="shared" si="26"/>
        <v>0</v>
      </c>
      <c r="N91" s="126">
        <f t="shared" si="26"/>
        <v>0</v>
      </c>
      <c r="O91" s="365"/>
      <c r="P91" s="365"/>
      <c r="Q91" s="365"/>
      <c r="R91" s="365"/>
      <c r="S91" s="365"/>
      <c r="AS91" s="40" t="s">
        <v>223</v>
      </c>
      <c r="AT91" s="41" t="s">
        <v>236</v>
      </c>
      <c r="AU91" s="38"/>
      <c r="AV91" s="38"/>
      <c r="AW91" s="38"/>
      <c r="AX91" s="38"/>
    </row>
    <row r="92" spans="1:50" ht="15" customHeight="1">
      <c r="A92" s="371" t="s">
        <v>38</v>
      </c>
      <c r="B92" s="14" t="s">
        <v>15</v>
      </c>
      <c r="C92" s="149"/>
      <c r="D92" s="149"/>
      <c r="E92" s="149"/>
      <c r="F92" s="150"/>
      <c r="G92" s="150"/>
      <c r="H92" s="150"/>
      <c r="I92" s="151"/>
      <c r="J92" s="151"/>
      <c r="K92" s="151"/>
      <c r="L92" s="126">
        <f t="shared" si="26"/>
        <v>0</v>
      </c>
      <c r="M92" s="126">
        <f t="shared" si="26"/>
        <v>0</v>
      </c>
      <c r="N92" s="126">
        <f t="shared" si="26"/>
        <v>0</v>
      </c>
      <c r="O92" s="365"/>
      <c r="P92" s="365"/>
      <c r="Q92" s="365"/>
      <c r="R92" s="365"/>
      <c r="S92" s="365"/>
      <c r="AS92" s="40" t="s">
        <v>223</v>
      </c>
      <c r="AT92" s="41" t="s">
        <v>237</v>
      </c>
      <c r="AU92" s="38"/>
      <c r="AV92" s="38"/>
      <c r="AW92" s="38"/>
      <c r="AX92" s="38"/>
    </row>
    <row r="93" spans="1:50" ht="15" customHeight="1">
      <c r="A93" s="371"/>
      <c r="B93" s="14" t="s">
        <v>16</v>
      </c>
      <c r="C93" s="149"/>
      <c r="D93" s="149"/>
      <c r="E93" s="149"/>
      <c r="F93" s="150"/>
      <c r="G93" s="150"/>
      <c r="H93" s="150"/>
      <c r="I93" s="151"/>
      <c r="J93" s="151"/>
      <c r="K93" s="151"/>
      <c r="L93" s="126">
        <f t="shared" si="26"/>
        <v>0</v>
      </c>
      <c r="M93" s="126">
        <f t="shared" si="26"/>
        <v>0</v>
      </c>
      <c r="N93" s="126">
        <f t="shared" si="26"/>
        <v>0</v>
      </c>
      <c r="O93" s="365"/>
      <c r="P93" s="365"/>
      <c r="Q93" s="365"/>
      <c r="R93" s="365"/>
      <c r="S93" s="365"/>
      <c r="AS93" s="40" t="s">
        <v>223</v>
      </c>
      <c r="AT93" s="41" t="s">
        <v>238</v>
      </c>
      <c r="AU93" s="38"/>
      <c r="AV93" s="38"/>
      <c r="AW93" s="38"/>
      <c r="AX93" s="38"/>
    </row>
    <row r="94" spans="1:50" ht="15" customHeight="1">
      <c r="A94" s="371" t="s">
        <v>39</v>
      </c>
      <c r="B94" s="14" t="s">
        <v>15</v>
      </c>
      <c r="C94" s="149"/>
      <c r="D94" s="149"/>
      <c r="E94" s="149"/>
      <c r="F94" s="150"/>
      <c r="G94" s="150"/>
      <c r="H94" s="150"/>
      <c r="I94" s="151"/>
      <c r="J94" s="151"/>
      <c r="K94" s="151"/>
      <c r="L94" s="126">
        <f t="shared" si="26"/>
        <v>0</v>
      </c>
      <c r="M94" s="126">
        <f t="shared" si="26"/>
        <v>0</v>
      </c>
      <c r="N94" s="126">
        <f t="shared" si="26"/>
        <v>0</v>
      </c>
      <c r="O94" s="365"/>
      <c r="P94" s="365"/>
      <c r="Q94" s="365"/>
      <c r="R94" s="365"/>
      <c r="S94" s="365"/>
      <c r="AS94" s="40" t="s">
        <v>223</v>
      </c>
      <c r="AT94" s="41" t="s">
        <v>239</v>
      </c>
      <c r="AU94" s="38"/>
      <c r="AV94" s="38"/>
      <c r="AW94" s="38"/>
      <c r="AX94" s="38"/>
    </row>
    <row r="95" spans="1:50" ht="15" customHeight="1">
      <c r="A95" s="371"/>
      <c r="B95" s="14" t="s">
        <v>16</v>
      </c>
      <c r="C95" s="149"/>
      <c r="D95" s="149"/>
      <c r="E95" s="149"/>
      <c r="F95" s="150"/>
      <c r="G95" s="150"/>
      <c r="H95" s="150"/>
      <c r="I95" s="151"/>
      <c r="J95" s="151"/>
      <c r="K95" s="151"/>
      <c r="L95" s="126">
        <f t="shared" si="26"/>
        <v>0</v>
      </c>
      <c r="M95" s="126">
        <f t="shared" si="26"/>
        <v>0</v>
      </c>
      <c r="N95" s="126">
        <f t="shared" si="26"/>
        <v>0</v>
      </c>
      <c r="O95" s="365"/>
      <c r="P95" s="365"/>
      <c r="Q95" s="365"/>
      <c r="R95" s="365"/>
      <c r="S95" s="365"/>
      <c r="AS95" s="40" t="s">
        <v>223</v>
      </c>
      <c r="AT95" s="41" t="s">
        <v>240</v>
      </c>
      <c r="AU95" s="38"/>
      <c r="AV95" s="38"/>
      <c r="AW95" s="38"/>
      <c r="AX95" s="38"/>
    </row>
    <row r="96" spans="1:50" ht="15" customHeight="1">
      <c r="A96" s="375" t="s">
        <v>926</v>
      </c>
      <c r="B96" s="14" t="s">
        <v>15</v>
      </c>
      <c r="C96" s="149"/>
      <c r="D96" s="149"/>
      <c r="E96" s="149"/>
      <c r="F96" s="150"/>
      <c r="G96" s="150"/>
      <c r="H96" s="150"/>
      <c r="I96" s="151"/>
      <c r="J96" s="151"/>
      <c r="K96" s="151"/>
      <c r="L96" s="126">
        <f t="shared" si="26"/>
        <v>0</v>
      </c>
      <c r="M96" s="126">
        <f t="shared" si="26"/>
        <v>0</v>
      </c>
      <c r="N96" s="126">
        <f t="shared" si="26"/>
        <v>0</v>
      </c>
      <c r="O96" s="159"/>
      <c r="P96" s="159"/>
      <c r="Q96" s="159"/>
      <c r="R96" s="159"/>
      <c r="S96" s="159"/>
      <c r="AS96" s="40"/>
      <c r="AT96" s="41"/>
      <c r="AU96" s="38"/>
      <c r="AV96" s="38"/>
      <c r="AW96" s="38"/>
      <c r="AX96" s="38"/>
    </row>
    <row r="97" spans="1:50" ht="15" customHeight="1">
      <c r="A97" s="375"/>
      <c r="B97" s="14" t="s">
        <v>16</v>
      </c>
      <c r="C97" s="149"/>
      <c r="D97" s="149"/>
      <c r="E97" s="149"/>
      <c r="F97" s="150"/>
      <c r="G97" s="150"/>
      <c r="H97" s="150"/>
      <c r="I97" s="151"/>
      <c r="J97" s="151"/>
      <c r="K97" s="151"/>
      <c r="L97" s="126">
        <f t="shared" si="26"/>
        <v>0</v>
      </c>
      <c r="M97" s="126">
        <f t="shared" si="26"/>
        <v>0</v>
      </c>
      <c r="N97" s="126">
        <f t="shared" si="26"/>
        <v>0</v>
      </c>
      <c r="O97" s="159"/>
      <c r="P97" s="159"/>
      <c r="Q97" s="159"/>
      <c r="R97" s="159"/>
      <c r="S97" s="159"/>
      <c r="AS97" s="40"/>
      <c r="AT97" s="41"/>
      <c r="AU97" s="38"/>
      <c r="AV97" s="38"/>
      <c r="AW97" s="38"/>
      <c r="AX97" s="38"/>
    </row>
    <row r="98" spans="1:50" ht="15" customHeight="1">
      <c r="A98" s="375" t="s">
        <v>927</v>
      </c>
      <c r="B98" s="14" t="s">
        <v>15</v>
      </c>
      <c r="C98" s="149"/>
      <c r="D98" s="149"/>
      <c r="E98" s="149"/>
      <c r="F98" s="150"/>
      <c r="G98" s="150"/>
      <c r="H98" s="150"/>
      <c r="I98" s="151"/>
      <c r="J98" s="151"/>
      <c r="K98" s="151"/>
      <c r="L98" s="126">
        <f t="shared" si="26"/>
        <v>0</v>
      </c>
      <c r="M98" s="126">
        <f t="shared" si="26"/>
        <v>0</v>
      </c>
      <c r="N98" s="126">
        <f t="shared" si="26"/>
        <v>0</v>
      </c>
      <c r="O98" s="159"/>
      <c r="P98" s="159"/>
      <c r="Q98" s="159"/>
      <c r="R98" s="159"/>
      <c r="S98" s="159"/>
      <c r="AS98" s="40"/>
      <c r="AT98" s="41"/>
      <c r="AU98" s="38"/>
      <c r="AV98" s="38"/>
      <c r="AW98" s="38"/>
      <c r="AX98" s="38"/>
    </row>
    <row r="99" spans="1:50" ht="15" customHeight="1">
      <c r="A99" s="375"/>
      <c r="B99" s="14" t="s">
        <v>16</v>
      </c>
      <c r="C99" s="149"/>
      <c r="D99" s="149"/>
      <c r="E99" s="149"/>
      <c r="F99" s="150"/>
      <c r="G99" s="150"/>
      <c r="H99" s="150"/>
      <c r="I99" s="151"/>
      <c r="J99" s="151"/>
      <c r="K99" s="151"/>
      <c r="L99" s="126">
        <f t="shared" si="26"/>
        <v>0</v>
      </c>
      <c r="M99" s="126">
        <f t="shared" si="26"/>
        <v>0</v>
      </c>
      <c r="N99" s="126">
        <f t="shared" si="26"/>
        <v>0</v>
      </c>
      <c r="O99" s="159"/>
      <c r="P99" s="159"/>
      <c r="Q99" s="159"/>
      <c r="R99" s="159"/>
      <c r="S99" s="159"/>
      <c r="AS99" s="40"/>
      <c r="AT99" s="41"/>
      <c r="AU99" s="38"/>
      <c r="AV99" s="38"/>
      <c r="AW99" s="38"/>
      <c r="AX99" s="38"/>
    </row>
    <row r="100" spans="1:50" ht="15" customHeight="1">
      <c r="A100" s="376" t="s">
        <v>41</v>
      </c>
      <c r="B100" s="12" t="s">
        <v>15</v>
      </c>
      <c r="C100" s="149"/>
      <c r="D100" s="149"/>
      <c r="E100" s="149"/>
      <c r="F100" s="150"/>
      <c r="G100" s="150"/>
      <c r="H100" s="150"/>
      <c r="I100" s="151"/>
      <c r="J100" s="151"/>
      <c r="K100" s="151"/>
      <c r="L100" s="126">
        <f t="shared" si="26"/>
        <v>0</v>
      </c>
      <c r="M100" s="126">
        <f t="shared" si="26"/>
        <v>0</v>
      </c>
      <c r="N100" s="126">
        <f t="shared" si="26"/>
        <v>0</v>
      </c>
      <c r="O100" s="365"/>
      <c r="P100" s="365"/>
      <c r="Q100" s="365"/>
      <c r="R100" s="365"/>
      <c r="S100" s="365"/>
      <c r="AS100" s="40" t="s">
        <v>223</v>
      </c>
      <c r="AT100" s="41" t="s">
        <v>241</v>
      </c>
      <c r="AU100" s="38"/>
      <c r="AV100" s="38"/>
      <c r="AW100" s="38"/>
      <c r="AX100" s="38"/>
    </row>
    <row r="101" spans="1:50" ht="15" customHeight="1">
      <c r="A101" s="376"/>
      <c r="B101" s="12" t="s">
        <v>16</v>
      </c>
      <c r="C101" s="149"/>
      <c r="D101" s="149"/>
      <c r="E101" s="149"/>
      <c r="F101" s="150"/>
      <c r="G101" s="150"/>
      <c r="H101" s="150"/>
      <c r="I101" s="151"/>
      <c r="J101" s="151"/>
      <c r="K101" s="151"/>
      <c r="L101" s="126">
        <f t="shared" si="26"/>
        <v>0</v>
      </c>
      <c r="M101" s="126">
        <f t="shared" si="26"/>
        <v>0</v>
      </c>
      <c r="N101" s="126">
        <f t="shared" si="26"/>
        <v>0</v>
      </c>
      <c r="O101" s="365"/>
      <c r="P101" s="365"/>
      <c r="Q101" s="365"/>
      <c r="R101" s="365"/>
      <c r="S101" s="365"/>
      <c r="AS101" s="40" t="s">
        <v>223</v>
      </c>
      <c r="AT101" s="41" t="s">
        <v>242</v>
      </c>
      <c r="AU101" s="38"/>
      <c r="AV101" s="38"/>
      <c r="AW101" s="38"/>
      <c r="AX101" s="38"/>
    </row>
    <row r="102" spans="1:50" ht="15" customHeight="1">
      <c r="A102" s="378" t="s">
        <v>117</v>
      </c>
      <c r="B102" s="12" t="s">
        <v>15</v>
      </c>
      <c r="C102" s="149"/>
      <c r="D102" s="149"/>
      <c r="E102" s="149"/>
      <c r="F102" s="150"/>
      <c r="G102" s="150"/>
      <c r="H102" s="150"/>
      <c r="I102" s="151"/>
      <c r="J102" s="151"/>
      <c r="K102" s="151"/>
      <c r="L102" s="126">
        <f t="shared" si="26"/>
        <v>0</v>
      </c>
      <c r="M102" s="126">
        <f t="shared" si="26"/>
        <v>0</v>
      </c>
      <c r="N102" s="126">
        <f t="shared" si="26"/>
        <v>0</v>
      </c>
      <c r="O102" s="365"/>
      <c r="P102" s="365"/>
      <c r="Q102" s="365"/>
      <c r="R102" s="365"/>
      <c r="S102" s="365"/>
      <c r="AS102" s="40" t="s">
        <v>223</v>
      </c>
      <c r="AT102" s="41" t="s">
        <v>243</v>
      </c>
      <c r="AU102" s="38"/>
      <c r="AV102" s="38"/>
      <c r="AW102" s="38"/>
      <c r="AX102" s="38"/>
    </row>
    <row r="103" spans="1:50" ht="15" customHeight="1">
      <c r="A103" s="376"/>
      <c r="B103" s="12" t="s">
        <v>16</v>
      </c>
      <c r="C103" s="149"/>
      <c r="D103" s="149"/>
      <c r="E103" s="149"/>
      <c r="F103" s="150"/>
      <c r="G103" s="150"/>
      <c r="H103" s="150"/>
      <c r="I103" s="151"/>
      <c r="J103" s="151"/>
      <c r="K103" s="151"/>
      <c r="L103" s="126">
        <f t="shared" si="26"/>
        <v>0</v>
      </c>
      <c r="M103" s="126">
        <f t="shared" si="26"/>
        <v>0</v>
      </c>
      <c r="N103" s="126">
        <f t="shared" si="26"/>
        <v>0</v>
      </c>
      <c r="O103" s="365"/>
      <c r="P103" s="365"/>
      <c r="Q103" s="365"/>
      <c r="R103" s="365"/>
      <c r="S103" s="365"/>
      <c r="AS103" s="40" t="s">
        <v>223</v>
      </c>
      <c r="AT103" s="41" t="s">
        <v>244</v>
      </c>
      <c r="AU103" s="38"/>
      <c r="AV103" s="38"/>
      <c r="AW103" s="38"/>
      <c r="AX103" s="38"/>
    </row>
    <row r="104" spans="1:50" ht="15" customHeight="1">
      <c r="A104" s="378" t="s">
        <v>118</v>
      </c>
      <c r="B104" s="12" t="s">
        <v>15</v>
      </c>
      <c r="C104" s="149"/>
      <c r="D104" s="149"/>
      <c r="E104" s="149"/>
      <c r="F104" s="150"/>
      <c r="G104" s="150"/>
      <c r="H104" s="150"/>
      <c r="I104" s="151"/>
      <c r="J104" s="151"/>
      <c r="K104" s="151"/>
      <c r="L104" s="126">
        <f t="shared" si="26"/>
        <v>0</v>
      </c>
      <c r="M104" s="126">
        <f t="shared" si="26"/>
        <v>0</v>
      </c>
      <c r="N104" s="126">
        <f t="shared" si="26"/>
        <v>0</v>
      </c>
      <c r="O104" s="365"/>
      <c r="P104" s="365"/>
      <c r="Q104" s="365"/>
      <c r="R104" s="365"/>
      <c r="S104" s="365"/>
      <c r="AS104" s="40" t="s">
        <v>223</v>
      </c>
      <c r="AT104" s="41" t="s">
        <v>245</v>
      </c>
      <c r="AU104" s="38"/>
      <c r="AV104" s="38"/>
      <c r="AW104" s="38"/>
      <c r="AX104" s="38"/>
    </row>
    <row r="105" spans="1:50" ht="15" customHeight="1">
      <c r="A105" s="376"/>
      <c r="B105" s="12" t="s">
        <v>16</v>
      </c>
      <c r="C105" s="149"/>
      <c r="D105" s="149"/>
      <c r="E105" s="149"/>
      <c r="F105" s="150"/>
      <c r="G105" s="150"/>
      <c r="H105" s="150"/>
      <c r="I105" s="151"/>
      <c r="J105" s="151"/>
      <c r="K105" s="151"/>
      <c r="L105" s="126">
        <f t="shared" si="26"/>
        <v>0</v>
      </c>
      <c r="M105" s="126">
        <f t="shared" si="26"/>
        <v>0</v>
      </c>
      <c r="N105" s="126">
        <f t="shared" si="26"/>
        <v>0</v>
      </c>
      <c r="O105" s="365"/>
      <c r="P105" s="365"/>
      <c r="Q105" s="365"/>
      <c r="R105" s="365"/>
      <c r="S105" s="365"/>
      <c r="AS105" s="40" t="s">
        <v>223</v>
      </c>
      <c r="AT105" s="41" t="s">
        <v>246</v>
      </c>
      <c r="AU105" s="38"/>
      <c r="AV105" s="38"/>
      <c r="AW105" s="38"/>
      <c r="AX105" s="38"/>
    </row>
    <row r="106" spans="1:50" ht="15" customHeight="1">
      <c r="A106" s="377" t="s">
        <v>119</v>
      </c>
      <c r="B106" s="12" t="s">
        <v>15</v>
      </c>
      <c r="C106" s="34"/>
      <c r="D106" s="34"/>
      <c r="E106" s="34"/>
      <c r="F106" s="35"/>
      <c r="G106" s="35"/>
      <c r="H106" s="35"/>
      <c r="I106" s="128"/>
      <c r="J106" s="128"/>
      <c r="K106" s="128"/>
      <c r="L106" s="126">
        <f t="shared" si="26"/>
        <v>0</v>
      </c>
      <c r="M106" s="126">
        <f t="shared" si="26"/>
        <v>0</v>
      </c>
      <c r="N106" s="126">
        <f t="shared" si="26"/>
        <v>0</v>
      </c>
      <c r="O106" s="365"/>
      <c r="P106" s="365"/>
      <c r="Q106" s="365"/>
      <c r="R106" s="365"/>
      <c r="S106" s="365"/>
      <c r="AS106" s="40" t="s">
        <v>223</v>
      </c>
      <c r="AT106" s="41" t="s">
        <v>247</v>
      </c>
      <c r="AU106" s="38"/>
      <c r="AV106" s="38"/>
      <c r="AW106" s="38"/>
      <c r="AX106" s="38"/>
    </row>
    <row r="107" spans="1:50" ht="15" customHeight="1">
      <c r="A107" s="377"/>
      <c r="B107" s="12" t="s">
        <v>16</v>
      </c>
      <c r="C107" s="34"/>
      <c r="D107" s="34"/>
      <c r="E107" s="34"/>
      <c r="F107" s="35"/>
      <c r="G107" s="35"/>
      <c r="H107" s="35"/>
      <c r="I107" s="128"/>
      <c r="J107" s="128"/>
      <c r="K107" s="128"/>
      <c r="L107" s="126">
        <f t="shared" si="26"/>
        <v>0</v>
      </c>
      <c r="M107" s="126">
        <f t="shared" si="26"/>
        <v>0</v>
      </c>
      <c r="N107" s="126">
        <f t="shared" si="26"/>
        <v>0</v>
      </c>
      <c r="O107" s="365"/>
      <c r="P107" s="365"/>
      <c r="Q107" s="365"/>
      <c r="R107" s="365"/>
      <c r="S107" s="365"/>
      <c r="AS107" s="40" t="s">
        <v>223</v>
      </c>
      <c r="AT107" s="41" t="s">
        <v>248</v>
      </c>
      <c r="AU107" s="38"/>
      <c r="AV107" s="38"/>
      <c r="AW107" s="38"/>
      <c r="AX107" s="38"/>
    </row>
    <row r="108" spans="1:50" ht="15" customHeight="1">
      <c r="A108" s="377" t="s">
        <v>120</v>
      </c>
      <c r="B108" s="12" t="s">
        <v>15</v>
      </c>
      <c r="C108" s="128"/>
      <c r="D108" s="128"/>
      <c r="E108" s="128"/>
      <c r="F108" s="128"/>
      <c r="G108" s="128"/>
      <c r="H108" s="128"/>
      <c r="I108" s="36"/>
      <c r="J108" s="36"/>
      <c r="K108" s="36"/>
      <c r="L108" s="126">
        <f t="shared" si="26"/>
        <v>0</v>
      </c>
      <c r="M108" s="126">
        <f t="shared" si="26"/>
        <v>0</v>
      </c>
      <c r="N108" s="126">
        <f t="shared" si="26"/>
        <v>0</v>
      </c>
      <c r="O108" s="365"/>
      <c r="P108" s="365"/>
      <c r="Q108" s="365"/>
      <c r="R108" s="365"/>
      <c r="S108" s="365"/>
      <c r="AS108" s="40" t="s">
        <v>223</v>
      </c>
      <c r="AT108" s="41" t="s">
        <v>249</v>
      </c>
      <c r="AU108" s="38"/>
      <c r="AV108" s="38"/>
      <c r="AW108" s="38"/>
      <c r="AX108" s="38"/>
    </row>
    <row r="109" spans="1:50" ht="15" customHeight="1">
      <c r="A109" s="377"/>
      <c r="B109" s="12" t="s">
        <v>16</v>
      </c>
      <c r="C109" s="128"/>
      <c r="D109" s="128"/>
      <c r="E109" s="128"/>
      <c r="F109" s="128"/>
      <c r="G109" s="128"/>
      <c r="H109" s="128"/>
      <c r="I109" s="36"/>
      <c r="J109" s="36"/>
      <c r="K109" s="36"/>
      <c r="L109" s="126">
        <f t="shared" si="26"/>
        <v>0</v>
      </c>
      <c r="M109" s="126">
        <f t="shared" si="26"/>
        <v>0</v>
      </c>
      <c r="N109" s="126">
        <f t="shared" si="26"/>
        <v>0</v>
      </c>
      <c r="O109" s="365"/>
      <c r="P109" s="365"/>
      <c r="Q109" s="365"/>
      <c r="R109" s="365"/>
      <c r="S109" s="365"/>
      <c r="AS109" s="40" t="s">
        <v>223</v>
      </c>
      <c r="AT109" s="41" t="s">
        <v>250</v>
      </c>
      <c r="AU109" s="38"/>
      <c r="AV109" s="38"/>
      <c r="AW109" s="38"/>
      <c r="AX109" s="38"/>
    </row>
    <row r="110" spans="1:50" ht="15" customHeight="1">
      <c r="A110" s="377" t="s">
        <v>121</v>
      </c>
      <c r="B110" s="12" t="s">
        <v>15</v>
      </c>
      <c r="C110" s="34"/>
      <c r="D110" s="34"/>
      <c r="E110" s="34"/>
      <c r="F110" s="35"/>
      <c r="G110" s="35"/>
      <c r="H110" s="35"/>
      <c r="I110" s="36"/>
      <c r="J110" s="36"/>
      <c r="K110" s="36"/>
      <c r="L110" s="126">
        <f t="shared" si="26"/>
        <v>0</v>
      </c>
      <c r="M110" s="126">
        <f t="shared" si="26"/>
        <v>0</v>
      </c>
      <c r="N110" s="126">
        <f t="shared" si="26"/>
        <v>0</v>
      </c>
      <c r="O110" s="365"/>
      <c r="P110" s="365"/>
      <c r="Q110" s="365"/>
      <c r="R110" s="365"/>
      <c r="S110" s="365"/>
      <c r="AS110" s="40" t="s">
        <v>223</v>
      </c>
      <c r="AT110" s="41" t="s">
        <v>251</v>
      </c>
      <c r="AU110" s="38"/>
      <c r="AV110" s="38"/>
      <c r="AW110" s="38"/>
      <c r="AX110" s="38"/>
    </row>
    <row r="111" spans="1:50" ht="15" customHeight="1">
      <c r="A111" s="377"/>
      <c r="B111" s="12" t="s">
        <v>16</v>
      </c>
      <c r="C111" s="34"/>
      <c r="D111" s="34"/>
      <c r="E111" s="34"/>
      <c r="F111" s="35"/>
      <c r="G111" s="35"/>
      <c r="H111" s="35"/>
      <c r="I111" s="36"/>
      <c r="J111" s="36"/>
      <c r="K111" s="36"/>
      <c r="L111" s="126">
        <f t="shared" si="26"/>
        <v>0</v>
      </c>
      <c r="M111" s="126">
        <f t="shared" si="26"/>
        <v>0</v>
      </c>
      <c r="N111" s="126">
        <f t="shared" si="26"/>
        <v>0</v>
      </c>
      <c r="O111" s="365"/>
      <c r="P111" s="365"/>
      <c r="Q111" s="365"/>
      <c r="R111" s="365"/>
      <c r="S111" s="365"/>
      <c r="AS111" s="40" t="s">
        <v>223</v>
      </c>
      <c r="AT111" s="41" t="s">
        <v>252</v>
      </c>
      <c r="AU111" s="38"/>
      <c r="AV111" s="38"/>
      <c r="AW111" s="38"/>
      <c r="AX111" s="38"/>
    </row>
    <row r="112" spans="1:50" ht="15" customHeight="1">
      <c r="A112" s="377" t="s">
        <v>47</v>
      </c>
      <c r="B112" s="12" t="s">
        <v>15</v>
      </c>
      <c r="C112" s="34"/>
      <c r="D112" s="34"/>
      <c r="E112" s="34"/>
      <c r="F112" s="35"/>
      <c r="G112" s="35"/>
      <c r="H112" s="35"/>
      <c r="I112" s="36"/>
      <c r="J112" s="36"/>
      <c r="K112" s="36"/>
      <c r="L112" s="126">
        <f t="shared" si="26"/>
        <v>0</v>
      </c>
      <c r="M112" s="126">
        <f t="shared" si="26"/>
        <v>0</v>
      </c>
      <c r="N112" s="126">
        <f t="shared" si="26"/>
        <v>0</v>
      </c>
      <c r="O112" s="365"/>
      <c r="P112" s="365"/>
      <c r="Q112" s="365"/>
      <c r="R112" s="365"/>
      <c r="S112" s="365"/>
      <c r="AS112" s="40" t="s">
        <v>223</v>
      </c>
      <c r="AT112" s="41" t="s">
        <v>253</v>
      </c>
      <c r="AU112" s="38"/>
      <c r="AV112" s="38"/>
      <c r="AW112" s="38"/>
      <c r="AX112" s="38"/>
    </row>
    <row r="113" spans="1:50" ht="15" customHeight="1">
      <c r="A113" s="377"/>
      <c r="B113" s="12" t="s">
        <v>16</v>
      </c>
      <c r="C113" s="34"/>
      <c r="D113" s="34"/>
      <c r="E113" s="34"/>
      <c r="F113" s="35"/>
      <c r="G113" s="35"/>
      <c r="H113" s="35"/>
      <c r="I113" s="36"/>
      <c r="J113" s="36"/>
      <c r="K113" s="36"/>
      <c r="L113" s="126">
        <f t="shared" si="26"/>
        <v>0</v>
      </c>
      <c r="M113" s="126">
        <f t="shared" si="26"/>
        <v>0</v>
      </c>
      <c r="N113" s="126">
        <f t="shared" si="26"/>
        <v>0</v>
      </c>
      <c r="O113" s="365"/>
      <c r="P113" s="365"/>
      <c r="Q113" s="365"/>
      <c r="R113" s="365"/>
      <c r="S113" s="365"/>
      <c r="AS113" s="40" t="s">
        <v>223</v>
      </c>
      <c r="AT113" s="41" t="s">
        <v>254</v>
      </c>
      <c r="AU113" s="38"/>
      <c r="AV113" s="38"/>
      <c r="AW113" s="38"/>
      <c r="AX113" s="38"/>
    </row>
    <row r="114" spans="1:50" ht="15" customHeight="1">
      <c r="A114" s="379" t="s">
        <v>928</v>
      </c>
      <c r="B114" s="12" t="s">
        <v>15</v>
      </c>
      <c r="C114" s="34"/>
      <c r="D114" s="34"/>
      <c r="E114" s="34"/>
      <c r="F114" s="35"/>
      <c r="G114" s="35"/>
      <c r="H114" s="35"/>
      <c r="I114" s="36"/>
      <c r="J114" s="36"/>
      <c r="K114" s="36"/>
      <c r="L114" s="126">
        <f t="shared" si="26"/>
        <v>0</v>
      </c>
      <c r="M114" s="126">
        <f t="shared" si="26"/>
        <v>0</v>
      </c>
      <c r="N114" s="126">
        <f t="shared" si="26"/>
        <v>0</v>
      </c>
      <c r="O114" s="159"/>
      <c r="P114" s="159"/>
      <c r="Q114" s="159"/>
      <c r="R114" s="159"/>
      <c r="S114" s="159"/>
      <c r="AS114" s="40"/>
      <c r="AT114" s="41"/>
      <c r="AU114" s="38"/>
      <c r="AV114" s="38"/>
      <c r="AW114" s="38"/>
      <c r="AX114" s="38"/>
    </row>
    <row r="115" spans="1:50" ht="15" customHeight="1">
      <c r="A115" s="379"/>
      <c r="B115" s="12" t="s">
        <v>16</v>
      </c>
      <c r="C115" s="34"/>
      <c r="D115" s="34"/>
      <c r="E115" s="34"/>
      <c r="F115" s="35"/>
      <c r="G115" s="35"/>
      <c r="H115" s="35"/>
      <c r="I115" s="36"/>
      <c r="J115" s="36"/>
      <c r="K115" s="36"/>
      <c r="L115" s="126">
        <f t="shared" si="26"/>
        <v>0</v>
      </c>
      <c r="M115" s="126">
        <f t="shared" si="26"/>
        <v>0</v>
      </c>
      <c r="N115" s="126">
        <f t="shared" si="26"/>
        <v>0</v>
      </c>
      <c r="O115" s="159"/>
      <c r="P115" s="159"/>
      <c r="Q115" s="159"/>
      <c r="R115" s="159"/>
      <c r="S115" s="159"/>
      <c r="AS115" s="40"/>
      <c r="AT115" s="41"/>
      <c r="AU115" s="38"/>
      <c r="AV115" s="38"/>
      <c r="AW115" s="38"/>
      <c r="AX115" s="38"/>
    </row>
    <row r="116" spans="1:50" ht="15" customHeight="1">
      <c r="A116" s="379" t="s">
        <v>929</v>
      </c>
      <c r="B116" s="12" t="s">
        <v>15</v>
      </c>
      <c r="C116" s="34"/>
      <c r="D116" s="34"/>
      <c r="E116" s="34"/>
      <c r="F116" s="35"/>
      <c r="G116" s="35"/>
      <c r="H116" s="35"/>
      <c r="I116" s="36"/>
      <c r="J116" s="36"/>
      <c r="K116" s="36"/>
      <c r="L116" s="126">
        <f t="shared" si="26"/>
        <v>0</v>
      </c>
      <c r="M116" s="126">
        <f t="shared" si="26"/>
        <v>0</v>
      </c>
      <c r="N116" s="126">
        <f t="shared" si="26"/>
        <v>0</v>
      </c>
      <c r="O116" s="159"/>
      <c r="P116" s="159"/>
      <c r="Q116" s="159"/>
      <c r="R116" s="159"/>
      <c r="S116" s="159"/>
      <c r="AS116" s="40"/>
      <c r="AT116" s="41"/>
      <c r="AU116" s="38"/>
      <c r="AV116" s="38"/>
      <c r="AW116" s="38"/>
      <c r="AX116" s="38"/>
    </row>
    <row r="117" spans="1:50" ht="15" customHeight="1">
      <c r="A117" s="379"/>
      <c r="B117" s="12" t="s">
        <v>16</v>
      </c>
      <c r="C117" s="34"/>
      <c r="D117" s="34"/>
      <c r="E117" s="34"/>
      <c r="F117" s="35"/>
      <c r="G117" s="35"/>
      <c r="H117" s="35"/>
      <c r="I117" s="36"/>
      <c r="J117" s="36"/>
      <c r="K117" s="36"/>
      <c r="L117" s="126">
        <f t="shared" si="26"/>
        <v>0</v>
      </c>
      <c r="M117" s="126">
        <f t="shared" si="26"/>
        <v>0</v>
      </c>
      <c r="N117" s="126">
        <f t="shared" si="26"/>
        <v>0</v>
      </c>
      <c r="O117" s="159"/>
      <c r="P117" s="159"/>
      <c r="Q117" s="159"/>
      <c r="R117" s="159"/>
      <c r="S117" s="159"/>
      <c r="AS117" s="40"/>
      <c r="AT117" s="41"/>
      <c r="AU117" s="38"/>
      <c r="AV117" s="38"/>
      <c r="AW117" s="38"/>
      <c r="AX117" s="38"/>
    </row>
    <row r="118" spans="1:50" ht="15" customHeight="1">
      <c r="A118" s="380" t="s">
        <v>49</v>
      </c>
      <c r="B118" s="11" t="s">
        <v>15</v>
      </c>
      <c r="C118" s="34"/>
      <c r="D118" s="34"/>
      <c r="E118" s="34"/>
      <c r="F118" s="35"/>
      <c r="G118" s="35"/>
      <c r="H118" s="35"/>
      <c r="I118" s="36"/>
      <c r="J118" s="36"/>
      <c r="K118" s="36"/>
      <c r="L118" s="126">
        <f t="shared" si="26"/>
        <v>0</v>
      </c>
      <c r="M118" s="126">
        <f t="shared" si="26"/>
        <v>0</v>
      </c>
      <c r="N118" s="126">
        <f t="shared" si="26"/>
        <v>0</v>
      </c>
      <c r="O118" s="365"/>
      <c r="P118" s="365"/>
      <c r="Q118" s="365"/>
      <c r="R118" s="365"/>
      <c r="S118" s="365"/>
      <c r="AS118" s="40" t="s">
        <v>223</v>
      </c>
      <c r="AT118" s="41" t="s">
        <v>255</v>
      </c>
      <c r="AU118" s="38"/>
      <c r="AV118" s="38"/>
      <c r="AW118" s="38"/>
      <c r="AX118" s="38"/>
    </row>
    <row r="119" spans="1:50" ht="15" customHeight="1">
      <c r="A119" s="380"/>
      <c r="B119" s="11" t="s">
        <v>16</v>
      </c>
      <c r="C119" s="34"/>
      <c r="D119" s="34"/>
      <c r="E119" s="34"/>
      <c r="F119" s="35"/>
      <c r="G119" s="35"/>
      <c r="H119" s="35"/>
      <c r="I119" s="36"/>
      <c r="J119" s="36"/>
      <c r="K119" s="36"/>
      <c r="L119" s="126">
        <f t="shared" si="26"/>
        <v>0</v>
      </c>
      <c r="M119" s="126">
        <f t="shared" si="26"/>
        <v>0</v>
      </c>
      <c r="N119" s="126">
        <f t="shared" si="26"/>
        <v>0</v>
      </c>
      <c r="O119" s="365"/>
      <c r="P119" s="365"/>
      <c r="Q119" s="365"/>
      <c r="R119" s="365"/>
      <c r="S119" s="365"/>
      <c r="AS119" s="40" t="s">
        <v>223</v>
      </c>
      <c r="AT119" s="41" t="s">
        <v>256</v>
      </c>
      <c r="AU119" s="38"/>
      <c r="AV119" s="38"/>
      <c r="AW119" s="38"/>
      <c r="AX119" s="38"/>
    </row>
    <row r="120" spans="1:50" ht="15" customHeight="1">
      <c r="A120" s="380" t="s">
        <v>122</v>
      </c>
      <c r="B120" s="11" t="s">
        <v>15</v>
      </c>
      <c r="C120" s="34"/>
      <c r="D120" s="34"/>
      <c r="E120" s="34"/>
      <c r="F120" s="35"/>
      <c r="G120" s="35"/>
      <c r="H120" s="35"/>
      <c r="I120" s="36"/>
      <c r="J120" s="36"/>
      <c r="K120" s="36"/>
      <c r="L120" s="126">
        <f t="shared" si="26"/>
        <v>0</v>
      </c>
      <c r="M120" s="126">
        <f t="shared" si="26"/>
        <v>0</v>
      </c>
      <c r="N120" s="126">
        <f t="shared" si="26"/>
        <v>0</v>
      </c>
      <c r="O120" s="365"/>
      <c r="P120" s="365"/>
      <c r="Q120" s="365"/>
      <c r="R120" s="365"/>
      <c r="S120" s="365"/>
      <c r="AS120" s="40" t="s">
        <v>223</v>
      </c>
      <c r="AT120" s="41" t="s">
        <v>257</v>
      </c>
      <c r="AU120" s="38"/>
      <c r="AV120" s="38"/>
      <c r="AW120" s="38"/>
      <c r="AX120" s="38"/>
    </row>
    <row r="121" spans="1:50" ht="15" customHeight="1">
      <c r="A121" s="380"/>
      <c r="B121" s="11" t="s">
        <v>16</v>
      </c>
      <c r="C121" s="34"/>
      <c r="D121" s="34"/>
      <c r="E121" s="34"/>
      <c r="F121" s="35"/>
      <c r="G121" s="35"/>
      <c r="H121" s="35"/>
      <c r="I121" s="36"/>
      <c r="J121" s="36"/>
      <c r="K121" s="36"/>
      <c r="L121" s="126">
        <f t="shared" si="26"/>
        <v>0</v>
      </c>
      <c r="M121" s="126">
        <f t="shared" si="26"/>
        <v>0</v>
      </c>
      <c r="N121" s="126">
        <f t="shared" si="26"/>
        <v>0</v>
      </c>
      <c r="O121" s="365"/>
      <c r="P121" s="365"/>
      <c r="Q121" s="365"/>
      <c r="R121" s="365"/>
      <c r="S121" s="365"/>
      <c r="AS121" s="40" t="s">
        <v>223</v>
      </c>
      <c r="AT121" s="41" t="s">
        <v>258</v>
      </c>
      <c r="AU121" s="38"/>
      <c r="AV121" s="38"/>
      <c r="AW121" s="38"/>
      <c r="AX121" s="38"/>
    </row>
    <row r="122" spans="1:50" ht="15" customHeight="1">
      <c r="A122" s="380" t="s">
        <v>123</v>
      </c>
      <c r="B122" s="11" t="s">
        <v>15</v>
      </c>
      <c r="C122" s="128"/>
      <c r="D122" s="128"/>
      <c r="E122" s="128"/>
      <c r="F122" s="128"/>
      <c r="G122" s="128"/>
      <c r="H122" s="128"/>
      <c r="I122" s="36"/>
      <c r="J122" s="36"/>
      <c r="K122" s="36"/>
      <c r="L122" s="126">
        <f t="shared" si="26"/>
        <v>0</v>
      </c>
      <c r="M122" s="126">
        <f t="shared" si="26"/>
        <v>0</v>
      </c>
      <c r="N122" s="126">
        <f t="shared" si="26"/>
        <v>0</v>
      </c>
      <c r="O122" s="365"/>
      <c r="P122" s="365"/>
      <c r="Q122" s="365"/>
      <c r="R122" s="365"/>
      <c r="S122" s="365"/>
      <c r="AS122" s="40" t="s">
        <v>223</v>
      </c>
      <c r="AT122" s="41" t="s">
        <v>259</v>
      </c>
      <c r="AU122" s="38"/>
      <c r="AV122" s="38"/>
      <c r="AW122" s="38"/>
      <c r="AX122" s="38"/>
    </row>
    <row r="123" spans="1:50" ht="15" customHeight="1">
      <c r="A123" s="380"/>
      <c r="B123" s="11" t="s">
        <v>16</v>
      </c>
      <c r="C123" s="128"/>
      <c r="D123" s="128"/>
      <c r="E123" s="128"/>
      <c r="F123" s="128"/>
      <c r="G123" s="128"/>
      <c r="H123" s="128"/>
      <c r="I123" s="36"/>
      <c r="J123" s="36"/>
      <c r="K123" s="36"/>
      <c r="L123" s="126">
        <f t="shared" si="26"/>
        <v>0</v>
      </c>
      <c r="M123" s="126">
        <f t="shared" si="26"/>
        <v>0</v>
      </c>
      <c r="N123" s="126">
        <f t="shared" si="26"/>
        <v>0</v>
      </c>
      <c r="O123" s="365"/>
      <c r="P123" s="365"/>
      <c r="Q123" s="365"/>
      <c r="R123" s="365"/>
      <c r="S123" s="365"/>
      <c r="AS123" s="40" t="s">
        <v>223</v>
      </c>
      <c r="AT123" s="41" t="s">
        <v>260</v>
      </c>
      <c r="AU123" s="38"/>
      <c r="AV123" s="38"/>
      <c r="AW123" s="38"/>
      <c r="AX123" s="38"/>
    </row>
    <row r="124" spans="1:50" ht="15" customHeight="1">
      <c r="A124" s="380" t="s">
        <v>124</v>
      </c>
      <c r="B124" s="11" t="s">
        <v>15</v>
      </c>
      <c r="C124" s="34"/>
      <c r="D124" s="34"/>
      <c r="E124" s="34"/>
      <c r="F124" s="35"/>
      <c r="G124" s="35"/>
      <c r="H124" s="35"/>
      <c r="I124" s="36"/>
      <c r="J124" s="36"/>
      <c r="K124" s="36"/>
      <c r="L124" s="126">
        <f t="shared" si="26"/>
        <v>0</v>
      </c>
      <c r="M124" s="126">
        <f t="shared" si="26"/>
        <v>0</v>
      </c>
      <c r="N124" s="126">
        <f t="shared" si="26"/>
        <v>0</v>
      </c>
      <c r="O124" s="365"/>
      <c r="P124" s="365"/>
      <c r="Q124" s="365"/>
      <c r="R124" s="365"/>
      <c r="S124" s="365"/>
      <c r="AS124" s="40" t="s">
        <v>223</v>
      </c>
      <c r="AT124" s="41" t="s">
        <v>261</v>
      </c>
      <c r="AU124" s="38"/>
      <c r="AV124" s="38"/>
      <c r="AW124" s="38"/>
      <c r="AX124" s="38"/>
    </row>
    <row r="125" spans="1:50" ht="15" customHeight="1">
      <c r="A125" s="380"/>
      <c r="B125" s="11" t="s">
        <v>16</v>
      </c>
      <c r="C125" s="34"/>
      <c r="D125" s="34"/>
      <c r="E125" s="34"/>
      <c r="F125" s="35"/>
      <c r="G125" s="35"/>
      <c r="H125" s="35"/>
      <c r="I125" s="36"/>
      <c r="J125" s="36"/>
      <c r="K125" s="36"/>
      <c r="L125" s="126">
        <f t="shared" si="26"/>
        <v>0</v>
      </c>
      <c r="M125" s="126">
        <f t="shared" si="26"/>
        <v>0</v>
      </c>
      <c r="N125" s="126">
        <f t="shared" si="26"/>
        <v>0</v>
      </c>
      <c r="O125" s="365"/>
      <c r="P125" s="365"/>
      <c r="Q125" s="365"/>
      <c r="R125" s="365"/>
      <c r="S125" s="365"/>
      <c r="AS125" s="40" t="s">
        <v>262</v>
      </c>
      <c r="AT125" s="41" t="s">
        <v>262</v>
      </c>
      <c r="AU125" s="38"/>
      <c r="AV125" s="38"/>
      <c r="AW125" s="38"/>
      <c r="AX125" s="38"/>
    </row>
    <row r="126" spans="1:50" ht="15" customHeight="1">
      <c r="A126" s="380" t="s">
        <v>53</v>
      </c>
      <c r="B126" s="11" t="s">
        <v>15</v>
      </c>
      <c r="C126" s="34"/>
      <c r="D126" s="34"/>
      <c r="E126" s="34"/>
      <c r="F126" s="35"/>
      <c r="G126" s="35"/>
      <c r="H126" s="35"/>
      <c r="I126" s="36"/>
      <c r="J126" s="36"/>
      <c r="K126" s="36"/>
      <c r="L126" s="126">
        <f t="shared" si="26"/>
        <v>0</v>
      </c>
      <c r="M126" s="126">
        <f t="shared" si="26"/>
        <v>0</v>
      </c>
      <c r="N126" s="126">
        <f t="shared" si="26"/>
        <v>0</v>
      </c>
      <c r="O126" s="365"/>
      <c r="P126" s="365"/>
      <c r="Q126" s="365"/>
      <c r="R126" s="365"/>
      <c r="S126" s="365"/>
      <c r="AS126" s="40" t="s">
        <v>263</v>
      </c>
      <c r="AT126" s="41" t="s">
        <v>264</v>
      </c>
      <c r="AU126" s="38"/>
      <c r="AV126" s="38"/>
      <c r="AW126" s="38"/>
      <c r="AX126" s="38"/>
    </row>
    <row r="127" spans="1:50" ht="15" customHeight="1">
      <c r="A127" s="380"/>
      <c r="B127" s="11" t="s">
        <v>16</v>
      </c>
      <c r="C127" s="34"/>
      <c r="D127" s="34"/>
      <c r="E127" s="34"/>
      <c r="F127" s="35"/>
      <c r="G127" s="35"/>
      <c r="H127" s="35"/>
      <c r="I127" s="36"/>
      <c r="J127" s="36"/>
      <c r="K127" s="36"/>
      <c r="L127" s="126">
        <f t="shared" si="26"/>
        <v>0</v>
      </c>
      <c r="M127" s="126">
        <f t="shared" si="26"/>
        <v>0</v>
      </c>
      <c r="N127" s="126">
        <f t="shared" si="26"/>
        <v>0</v>
      </c>
      <c r="O127" s="365"/>
      <c r="P127" s="365"/>
      <c r="Q127" s="365"/>
      <c r="R127" s="365"/>
      <c r="S127" s="365"/>
      <c r="AS127" s="40" t="s">
        <v>263</v>
      </c>
      <c r="AT127" s="41" t="s">
        <v>265</v>
      </c>
      <c r="AU127" s="38"/>
      <c r="AV127" s="38"/>
      <c r="AW127" s="38"/>
      <c r="AX127" s="38"/>
    </row>
    <row r="128" spans="1:50" ht="15" customHeight="1">
      <c r="A128" s="380" t="s">
        <v>125</v>
      </c>
      <c r="B128" s="11" t="s">
        <v>15</v>
      </c>
      <c r="C128" s="34"/>
      <c r="D128" s="34"/>
      <c r="E128" s="34"/>
      <c r="F128" s="35"/>
      <c r="G128" s="35"/>
      <c r="H128" s="35"/>
      <c r="I128" s="36"/>
      <c r="J128" s="36"/>
      <c r="K128" s="36"/>
      <c r="L128" s="126">
        <f t="shared" si="26"/>
        <v>0</v>
      </c>
      <c r="M128" s="126">
        <f t="shared" si="26"/>
        <v>0</v>
      </c>
      <c r="N128" s="126">
        <f t="shared" si="26"/>
        <v>0</v>
      </c>
      <c r="O128" s="365"/>
      <c r="P128" s="365"/>
      <c r="Q128" s="365"/>
      <c r="R128" s="365"/>
      <c r="S128" s="365"/>
      <c r="AS128" s="40" t="s">
        <v>263</v>
      </c>
      <c r="AT128" s="41" t="s">
        <v>266</v>
      </c>
      <c r="AU128" s="38"/>
      <c r="AV128" s="38"/>
      <c r="AW128" s="38"/>
      <c r="AX128" s="38"/>
    </row>
    <row r="129" spans="1:50" ht="15" customHeight="1">
      <c r="A129" s="380"/>
      <c r="B129" s="11" t="s">
        <v>16</v>
      </c>
      <c r="C129" s="34"/>
      <c r="D129" s="34"/>
      <c r="E129" s="34"/>
      <c r="F129" s="35"/>
      <c r="G129" s="35"/>
      <c r="H129" s="35"/>
      <c r="I129" s="36"/>
      <c r="J129" s="36"/>
      <c r="K129" s="36"/>
      <c r="L129" s="126">
        <f t="shared" si="26"/>
        <v>0</v>
      </c>
      <c r="M129" s="126">
        <f t="shared" si="26"/>
        <v>0</v>
      </c>
      <c r="N129" s="126">
        <f t="shared" si="26"/>
        <v>0</v>
      </c>
      <c r="O129" s="365"/>
      <c r="P129" s="365"/>
      <c r="Q129" s="365"/>
      <c r="R129" s="365"/>
      <c r="S129" s="365"/>
      <c r="AS129" s="40" t="s">
        <v>263</v>
      </c>
      <c r="AT129" s="41" t="s">
        <v>267</v>
      </c>
      <c r="AU129" s="38"/>
      <c r="AV129" s="38"/>
      <c r="AW129" s="38"/>
      <c r="AX129" s="38"/>
    </row>
    <row r="130" spans="1:50" ht="15" customHeight="1">
      <c r="A130" s="382" t="s">
        <v>930</v>
      </c>
      <c r="B130" s="11" t="s">
        <v>15</v>
      </c>
      <c r="C130" s="34"/>
      <c r="D130" s="34"/>
      <c r="E130" s="34"/>
      <c r="F130" s="35"/>
      <c r="G130" s="35"/>
      <c r="H130" s="35"/>
      <c r="I130" s="36"/>
      <c r="J130" s="36"/>
      <c r="K130" s="36"/>
      <c r="L130" s="126">
        <f t="shared" si="26"/>
        <v>0</v>
      </c>
      <c r="M130" s="126">
        <f t="shared" si="26"/>
        <v>0</v>
      </c>
      <c r="N130" s="126">
        <f t="shared" si="26"/>
        <v>0</v>
      </c>
      <c r="O130" s="159"/>
      <c r="P130" s="159"/>
      <c r="Q130" s="159"/>
      <c r="R130" s="159"/>
      <c r="S130" s="159"/>
      <c r="AS130" s="40"/>
      <c r="AT130" s="41"/>
      <c r="AU130" s="38"/>
      <c r="AV130" s="38"/>
      <c r="AW130" s="38"/>
      <c r="AX130" s="38"/>
    </row>
    <row r="131" spans="1:50" ht="15" customHeight="1">
      <c r="A131" s="382"/>
      <c r="B131" s="11" t="s">
        <v>16</v>
      </c>
      <c r="C131" s="34"/>
      <c r="D131" s="34"/>
      <c r="E131" s="34"/>
      <c r="F131" s="35"/>
      <c r="G131" s="35"/>
      <c r="H131" s="35"/>
      <c r="I131" s="36"/>
      <c r="J131" s="36"/>
      <c r="K131" s="36"/>
      <c r="L131" s="126">
        <f t="shared" si="26"/>
        <v>0</v>
      </c>
      <c r="M131" s="126">
        <f t="shared" si="26"/>
        <v>0</v>
      </c>
      <c r="N131" s="126">
        <f t="shared" si="26"/>
        <v>0</v>
      </c>
      <c r="O131" s="159"/>
      <c r="P131" s="159"/>
      <c r="Q131" s="159"/>
      <c r="R131" s="159"/>
      <c r="S131" s="159"/>
      <c r="AS131" s="40"/>
      <c r="AT131" s="41"/>
      <c r="AU131" s="38"/>
      <c r="AV131" s="38"/>
      <c r="AW131" s="38"/>
      <c r="AX131" s="38"/>
    </row>
    <row r="132" spans="1:50" ht="15" customHeight="1">
      <c r="A132" s="382" t="s">
        <v>932</v>
      </c>
      <c r="B132" s="11" t="s">
        <v>15</v>
      </c>
      <c r="C132" s="34"/>
      <c r="D132" s="34"/>
      <c r="E132" s="34"/>
      <c r="F132" s="35"/>
      <c r="G132" s="35"/>
      <c r="H132" s="35"/>
      <c r="I132" s="36"/>
      <c r="J132" s="36"/>
      <c r="K132" s="36"/>
      <c r="L132" s="126">
        <f t="shared" si="26"/>
        <v>0</v>
      </c>
      <c r="M132" s="126">
        <f t="shared" si="26"/>
        <v>0</v>
      </c>
      <c r="N132" s="126">
        <f t="shared" si="26"/>
        <v>0</v>
      </c>
      <c r="O132" s="159"/>
      <c r="P132" s="159"/>
      <c r="Q132" s="159"/>
      <c r="R132" s="159"/>
      <c r="S132" s="159"/>
      <c r="AS132" s="40"/>
      <c r="AT132" s="41"/>
      <c r="AU132" s="38"/>
      <c r="AV132" s="38"/>
      <c r="AW132" s="38"/>
      <c r="AX132" s="38"/>
    </row>
    <row r="133" spans="1:50" ht="15" customHeight="1">
      <c r="A133" s="382"/>
      <c r="B133" s="11" t="s">
        <v>16</v>
      </c>
      <c r="C133" s="34"/>
      <c r="D133" s="34"/>
      <c r="E133" s="34"/>
      <c r="F133" s="35"/>
      <c r="G133" s="35"/>
      <c r="H133" s="35"/>
      <c r="I133" s="36"/>
      <c r="J133" s="36"/>
      <c r="K133" s="36"/>
      <c r="L133" s="126">
        <f t="shared" si="26"/>
        <v>0</v>
      </c>
      <c r="M133" s="126">
        <f t="shared" si="26"/>
        <v>0</v>
      </c>
      <c r="N133" s="126">
        <f t="shared" si="26"/>
        <v>0</v>
      </c>
      <c r="O133" s="159"/>
      <c r="P133" s="159"/>
      <c r="Q133" s="159"/>
      <c r="R133" s="159"/>
      <c r="S133" s="159"/>
      <c r="AS133" s="40"/>
      <c r="AT133" s="41"/>
      <c r="AU133" s="38"/>
      <c r="AV133" s="38"/>
      <c r="AW133" s="38"/>
      <c r="AX133" s="38"/>
    </row>
    <row r="134" spans="1:50" ht="15" customHeight="1">
      <c r="A134" s="382" t="s">
        <v>931</v>
      </c>
      <c r="B134" s="11" t="s">
        <v>15</v>
      </c>
      <c r="C134" s="34"/>
      <c r="D134" s="34"/>
      <c r="E134" s="34"/>
      <c r="F134" s="35"/>
      <c r="G134" s="35"/>
      <c r="H134" s="35"/>
      <c r="I134" s="36"/>
      <c r="J134" s="36"/>
      <c r="K134" s="36"/>
      <c r="L134" s="126">
        <f t="shared" si="26"/>
        <v>0</v>
      </c>
      <c r="M134" s="126">
        <f t="shared" si="26"/>
        <v>0</v>
      </c>
      <c r="N134" s="126">
        <f t="shared" si="26"/>
        <v>0</v>
      </c>
      <c r="O134" s="159"/>
      <c r="P134" s="159"/>
      <c r="Q134" s="159"/>
      <c r="R134" s="159"/>
      <c r="S134" s="159"/>
      <c r="AS134" s="40"/>
      <c r="AT134" s="41"/>
      <c r="AU134" s="38"/>
      <c r="AV134" s="38"/>
      <c r="AW134" s="38"/>
      <c r="AX134" s="38"/>
    </row>
    <row r="135" spans="1:50" ht="15" customHeight="1">
      <c r="A135" s="382"/>
      <c r="B135" s="11" t="s">
        <v>16</v>
      </c>
      <c r="C135" s="34"/>
      <c r="D135" s="34"/>
      <c r="E135" s="34"/>
      <c r="F135" s="35"/>
      <c r="G135" s="35"/>
      <c r="H135" s="35"/>
      <c r="I135" s="36"/>
      <c r="J135" s="36"/>
      <c r="K135" s="36"/>
      <c r="L135" s="126">
        <f t="shared" si="26"/>
        <v>0</v>
      </c>
      <c r="M135" s="126">
        <f t="shared" si="26"/>
        <v>0</v>
      </c>
      <c r="N135" s="126">
        <f t="shared" si="26"/>
        <v>0</v>
      </c>
      <c r="O135" s="159"/>
      <c r="P135" s="159"/>
      <c r="Q135" s="159"/>
      <c r="R135" s="159"/>
      <c r="S135" s="159"/>
      <c r="AS135" s="40"/>
      <c r="AT135" s="41"/>
      <c r="AU135" s="38"/>
      <c r="AV135" s="38"/>
      <c r="AW135" s="38"/>
      <c r="AX135" s="38"/>
    </row>
    <row r="136" spans="1:50" ht="15" customHeight="1">
      <c r="A136" s="381" t="s">
        <v>55</v>
      </c>
      <c r="B136" s="121" t="s">
        <v>15</v>
      </c>
      <c r="C136" s="34"/>
      <c r="D136" s="34"/>
      <c r="E136" s="34"/>
      <c r="F136" s="35"/>
      <c r="G136" s="35"/>
      <c r="H136" s="35"/>
      <c r="I136" s="36"/>
      <c r="J136" s="36"/>
      <c r="K136" s="36"/>
      <c r="L136" s="126">
        <f t="shared" si="26"/>
        <v>0</v>
      </c>
      <c r="M136" s="126">
        <f t="shared" si="26"/>
        <v>0</v>
      </c>
      <c r="N136" s="126">
        <f t="shared" si="26"/>
        <v>0</v>
      </c>
      <c r="O136" s="365"/>
      <c r="P136" s="365"/>
      <c r="Q136" s="365"/>
      <c r="R136" s="365"/>
      <c r="S136" s="365"/>
      <c r="AS136" s="40" t="s">
        <v>263</v>
      </c>
      <c r="AT136" s="41" t="s">
        <v>268</v>
      </c>
      <c r="AU136" s="38"/>
      <c r="AV136" s="38"/>
      <c r="AW136" s="38"/>
      <c r="AX136" s="38"/>
    </row>
    <row r="137" spans="1:50" ht="15" customHeight="1">
      <c r="A137" s="381"/>
      <c r="B137" s="121" t="s">
        <v>16</v>
      </c>
      <c r="C137" s="34"/>
      <c r="D137" s="34"/>
      <c r="E137" s="34"/>
      <c r="F137" s="35"/>
      <c r="G137" s="35"/>
      <c r="H137" s="35"/>
      <c r="I137" s="36"/>
      <c r="J137" s="36"/>
      <c r="K137" s="36"/>
      <c r="L137" s="126">
        <f t="shared" si="26"/>
        <v>0</v>
      </c>
      <c r="M137" s="126">
        <f t="shared" si="26"/>
        <v>0</v>
      </c>
      <c r="N137" s="126">
        <f t="shared" si="26"/>
        <v>0</v>
      </c>
      <c r="O137" s="365"/>
      <c r="P137" s="365"/>
      <c r="Q137" s="365"/>
      <c r="R137" s="365"/>
      <c r="S137" s="365"/>
      <c r="AS137" s="40" t="s">
        <v>263</v>
      </c>
      <c r="AT137" s="41" t="s">
        <v>269</v>
      </c>
      <c r="AU137" s="38"/>
      <c r="AV137" s="38"/>
      <c r="AW137" s="38"/>
      <c r="AX137" s="38"/>
    </row>
    <row r="138" spans="1:50" ht="15" customHeight="1">
      <c r="A138" s="381" t="s">
        <v>56</v>
      </c>
      <c r="B138" s="121" t="s">
        <v>15</v>
      </c>
      <c r="C138" s="34"/>
      <c r="D138" s="34"/>
      <c r="E138" s="34"/>
      <c r="F138" s="35"/>
      <c r="G138" s="35"/>
      <c r="H138" s="35"/>
      <c r="I138" s="36"/>
      <c r="J138" s="36"/>
      <c r="K138" s="36"/>
      <c r="L138" s="126">
        <f t="shared" si="26"/>
        <v>0</v>
      </c>
      <c r="M138" s="126">
        <f t="shared" si="26"/>
        <v>0</v>
      </c>
      <c r="N138" s="126">
        <f t="shared" si="26"/>
        <v>0</v>
      </c>
      <c r="O138" s="365"/>
      <c r="P138" s="365"/>
      <c r="Q138" s="365"/>
      <c r="R138" s="365"/>
      <c r="S138" s="365"/>
      <c r="AS138" s="40" t="s">
        <v>263</v>
      </c>
      <c r="AT138" s="41" t="s">
        <v>270</v>
      </c>
      <c r="AU138" s="38"/>
      <c r="AV138" s="38"/>
      <c r="AW138" s="38"/>
      <c r="AX138" s="38"/>
    </row>
    <row r="139" spans="1:50" ht="15" customHeight="1">
      <c r="A139" s="381"/>
      <c r="B139" s="121" t="s">
        <v>16</v>
      </c>
      <c r="C139" s="34"/>
      <c r="D139" s="34"/>
      <c r="E139" s="34"/>
      <c r="F139" s="35"/>
      <c r="G139" s="35"/>
      <c r="H139" s="35"/>
      <c r="I139" s="36"/>
      <c r="J139" s="36"/>
      <c r="K139" s="36"/>
      <c r="L139" s="126">
        <f t="shared" si="26"/>
        <v>0</v>
      </c>
      <c r="M139" s="126">
        <f t="shared" si="26"/>
        <v>0</v>
      </c>
      <c r="N139" s="126">
        <f t="shared" si="26"/>
        <v>0</v>
      </c>
      <c r="O139" s="365"/>
      <c r="P139" s="365"/>
      <c r="Q139" s="365"/>
      <c r="R139" s="365"/>
      <c r="S139" s="365"/>
      <c r="AS139" s="40" t="s">
        <v>263</v>
      </c>
      <c r="AT139" s="41" t="s">
        <v>271</v>
      </c>
      <c r="AU139" s="38"/>
      <c r="AV139" s="38"/>
      <c r="AW139" s="38"/>
      <c r="AX139" s="38"/>
    </row>
    <row r="140" spans="1:50" ht="15" customHeight="1">
      <c r="A140" s="381" t="s">
        <v>57</v>
      </c>
      <c r="B140" s="121" t="s">
        <v>15</v>
      </c>
      <c r="C140" s="34"/>
      <c r="D140" s="34"/>
      <c r="E140" s="34"/>
      <c r="F140" s="35"/>
      <c r="G140" s="35"/>
      <c r="H140" s="35"/>
      <c r="I140" s="36"/>
      <c r="J140" s="36"/>
      <c r="K140" s="36"/>
      <c r="L140" s="126">
        <f t="shared" si="26"/>
        <v>0</v>
      </c>
      <c r="M140" s="126">
        <f t="shared" si="26"/>
        <v>0</v>
      </c>
      <c r="N140" s="126">
        <f t="shared" si="26"/>
        <v>0</v>
      </c>
      <c r="O140" s="365"/>
      <c r="P140" s="365"/>
      <c r="Q140" s="365"/>
      <c r="R140" s="365"/>
      <c r="S140" s="365"/>
      <c r="AS140" s="40" t="s">
        <v>263</v>
      </c>
      <c r="AT140" s="41" t="s">
        <v>272</v>
      </c>
      <c r="AU140" s="38"/>
      <c r="AV140" s="38"/>
      <c r="AW140" s="38"/>
      <c r="AX140" s="38"/>
    </row>
    <row r="141" spans="1:50" ht="15" customHeight="1">
      <c r="A141" s="381"/>
      <c r="B141" s="121" t="s">
        <v>16</v>
      </c>
      <c r="C141" s="34"/>
      <c r="D141" s="34"/>
      <c r="E141" s="34"/>
      <c r="F141" s="35"/>
      <c r="G141" s="35"/>
      <c r="H141" s="35"/>
      <c r="I141" s="36"/>
      <c r="J141" s="36"/>
      <c r="K141" s="36"/>
      <c r="L141" s="126">
        <f t="shared" si="26"/>
        <v>0</v>
      </c>
      <c r="M141" s="126">
        <f t="shared" si="26"/>
        <v>0</v>
      </c>
      <c r="N141" s="126">
        <f t="shared" si="26"/>
        <v>0</v>
      </c>
      <c r="O141" s="365"/>
      <c r="P141" s="365"/>
      <c r="Q141" s="365"/>
      <c r="R141" s="365"/>
      <c r="S141" s="365"/>
      <c r="AS141" s="40" t="s">
        <v>263</v>
      </c>
      <c r="AT141" s="41" t="s">
        <v>273</v>
      </c>
      <c r="AU141" s="38"/>
      <c r="AV141" s="38"/>
      <c r="AW141" s="38"/>
      <c r="AX141" s="38"/>
    </row>
    <row r="142" spans="1:50" ht="15" customHeight="1">
      <c r="A142" s="381" t="s">
        <v>58</v>
      </c>
      <c r="B142" s="121" t="s">
        <v>15</v>
      </c>
      <c r="C142" s="34"/>
      <c r="D142" s="34"/>
      <c r="E142" s="34"/>
      <c r="F142" s="35"/>
      <c r="G142" s="35"/>
      <c r="H142" s="35"/>
      <c r="I142" s="36"/>
      <c r="J142" s="36"/>
      <c r="K142" s="36"/>
      <c r="L142" s="126">
        <f t="shared" si="26"/>
        <v>0</v>
      </c>
      <c r="M142" s="126">
        <f t="shared" si="26"/>
        <v>0</v>
      </c>
      <c r="N142" s="126">
        <f t="shared" si="26"/>
        <v>0</v>
      </c>
      <c r="O142" s="365"/>
      <c r="P142" s="365"/>
      <c r="Q142" s="365"/>
      <c r="R142" s="365"/>
      <c r="S142" s="365"/>
      <c r="AS142" s="40" t="s">
        <v>263</v>
      </c>
      <c r="AT142" s="41" t="s">
        <v>274</v>
      </c>
      <c r="AU142" s="38"/>
      <c r="AV142" s="38"/>
      <c r="AW142" s="38"/>
      <c r="AX142" s="38"/>
    </row>
    <row r="143" spans="1:50" ht="15" customHeight="1">
      <c r="A143" s="381"/>
      <c r="B143" s="121" t="s">
        <v>16</v>
      </c>
      <c r="C143" s="34"/>
      <c r="D143" s="34"/>
      <c r="E143" s="34"/>
      <c r="F143" s="35"/>
      <c r="G143" s="35"/>
      <c r="H143" s="35"/>
      <c r="I143" s="36"/>
      <c r="J143" s="36"/>
      <c r="K143" s="36"/>
      <c r="L143" s="126">
        <f t="shared" si="26"/>
        <v>0</v>
      </c>
      <c r="M143" s="126">
        <f t="shared" si="26"/>
        <v>0</v>
      </c>
      <c r="N143" s="126">
        <f t="shared" si="26"/>
        <v>0</v>
      </c>
      <c r="O143" s="365"/>
      <c r="P143" s="365"/>
      <c r="Q143" s="365"/>
      <c r="R143" s="365"/>
      <c r="S143" s="365"/>
      <c r="AS143" s="40" t="s">
        <v>263</v>
      </c>
      <c r="AT143" s="41" t="s">
        <v>275</v>
      </c>
      <c r="AU143" s="38"/>
      <c r="AV143" s="38"/>
      <c r="AW143" s="38"/>
      <c r="AX143" s="38"/>
    </row>
    <row r="144" spans="1:50" ht="15" customHeight="1">
      <c r="A144" s="381" t="s">
        <v>59</v>
      </c>
      <c r="B144" s="121" t="s">
        <v>15</v>
      </c>
      <c r="C144" s="34"/>
      <c r="D144" s="34"/>
      <c r="E144" s="34"/>
      <c r="F144" s="35"/>
      <c r="G144" s="35"/>
      <c r="H144" s="35"/>
      <c r="I144" s="36"/>
      <c r="J144" s="36"/>
      <c r="K144" s="36"/>
      <c r="L144" s="126">
        <f t="shared" si="26"/>
        <v>0</v>
      </c>
      <c r="M144" s="126">
        <f t="shared" si="26"/>
        <v>0</v>
      </c>
      <c r="N144" s="126">
        <f t="shared" si="26"/>
        <v>0</v>
      </c>
      <c r="O144" s="365"/>
      <c r="P144" s="365"/>
      <c r="Q144" s="365"/>
      <c r="R144" s="365"/>
      <c r="S144" s="365"/>
      <c r="AS144" s="40" t="s">
        <v>263</v>
      </c>
      <c r="AT144" s="41" t="s">
        <v>276</v>
      </c>
      <c r="AU144" s="38"/>
      <c r="AV144" s="38"/>
      <c r="AW144" s="38"/>
      <c r="AX144" s="38"/>
    </row>
    <row r="145" spans="1:50" ht="15" customHeight="1">
      <c r="A145" s="381"/>
      <c r="B145" s="121" t="s">
        <v>16</v>
      </c>
      <c r="C145" s="34"/>
      <c r="D145" s="34"/>
      <c r="E145" s="34"/>
      <c r="F145" s="35"/>
      <c r="G145" s="35"/>
      <c r="H145" s="35"/>
      <c r="I145" s="36"/>
      <c r="J145" s="36"/>
      <c r="K145" s="36"/>
      <c r="L145" s="126">
        <f t="shared" si="26"/>
        <v>0</v>
      </c>
      <c r="M145" s="126">
        <f t="shared" si="26"/>
        <v>0</v>
      </c>
      <c r="N145" s="126">
        <f t="shared" si="26"/>
        <v>0</v>
      </c>
      <c r="O145" s="365"/>
      <c r="P145" s="365"/>
      <c r="Q145" s="365"/>
      <c r="R145" s="365"/>
      <c r="S145" s="365"/>
      <c r="AS145" s="40" t="s">
        <v>263</v>
      </c>
      <c r="AT145" s="41" t="s">
        <v>277</v>
      </c>
      <c r="AU145" s="38"/>
      <c r="AV145" s="38"/>
      <c r="AW145" s="38"/>
      <c r="AX145" s="38"/>
    </row>
    <row r="146" spans="1:50" ht="15" customHeight="1">
      <c r="A146" s="381" t="s">
        <v>60</v>
      </c>
      <c r="B146" s="121" t="s">
        <v>15</v>
      </c>
      <c r="C146" s="34"/>
      <c r="D146" s="34"/>
      <c r="E146" s="34"/>
      <c r="F146" s="35"/>
      <c r="G146" s="35"/>
      <c r="H146" s="35"/>
      <c r="I146" s="36"/>
      <c r="J146" s="36"/>
      <c r="K146" s="36"/>
      <c r="L146" s="126">
        <f t="shared" si="26"/>
        <v>0</v>
      </c>
      <c r="M146" s="126">
        <f t="shared" si="26"/>
        <v>0</v>
      </c>
      <c r="N146" s="126">
        <f t="shared" si="26"/>
        <v>0</v>
      </c>
      <c r="O146" s="365"/>
      <c r="P146" s="365"/>
      <c r="Q146" s="365"/>
      <c r="R146" s="365"/>
      <c r="S146" s="365"/>
      <c r="AS146" s="40" t="s">
        <v>263</v>
      </c>
      <c r="AT146" s="41" t="s">
        <v>278</v>
      </c>
      <c r="AU146" s="38"/>
      <c r="AV146" s="38"/>
      <c r="AW146" s="38"/>
      <c r="AX146" s="38"/>
    </row>
    <row r="147" spans="1:50" ht="15" customHeight="1">
      <c r="A147" s="381"/>
      <c r="B147" s="121" t="s">
        <v>16</v>
      </c>
      <c r="C147" s="34"/>
      <c r="D147" s="34"/>
      <c r="E147" s="34"/>
      <c r="F147" s="35"/>
      <c r="G147" s="35"/>
      <c r="H147" s="35"/>
      <c r="I147" s="36"/>
      <c r="J147" s="36"/>
      <c r="K147" s="36"/>
      <c r="L147" s="126">
        <f t="shared" si="26"/>
        <v>0</v>
      </c>
      <c r="M147" s="126">
        <f t="shared" si="26"/>
        <v>0</v>
      </c>
      <c r="N147" s="126">
        <f t="shared" si="26"/>
        <v>0</v>
      </c>
      <c r="O147" s="365"/>
      <c r="P147" s="365"/>
      <c r="Q147" s="365"/>
      <c r="R147" s="365"/>
      <c r="S147" s="365"/>
      <c r="AS147" s="40" t="s">
        <v>263</v>
      </c>
      <c r="AT147" s="41" t="s">
        <v>279</v>
      </c>
      <c r="AU147" s="38"/>
      <c r="AV147" s="38"/>
      <c r="AW147" s="38"/>
      <c r="AX147" s="38"/>
    </row>
    <row r="148" spans="1:50" ht="15" customHeight="1">
      <c r="A148" s="383" t="s">
        <v>126</v>
      </c>
      <c r="B148" s="121" t="s">
        <v>15</v>
      </c>
      <c r="C148" s="34"/>
      <c r="D148" s="34"/>
      <c r="E148" s="34"/>
      <c r="F148" s="35"/>
      <c r="G148" s="35"/>
      <c r="H148" s="35"/>
      <c r="I148" s="36"/>
      <c r="J148" s="36"/>
      <c r="K148" s="36"/>
      <c r="L148" s="126">
        <f t="shared" si="26"/>
        <v>0</v>
      </c>
      <c r="M148" s="126">
        <f t="shared" si="26"/>
        <v>0</v>
      </c>
      <c r="N148" s="126">
        <f t="shared" si="26"/>
        <v>0</v>
      </c>
      <c r="O148" s="365"/>
      <c r="P148" s="365"/>
      <c r="Q148" s="365"/>
      <c r="R148" s="365"/>
      <c r="S148" s="365"/>
      <c r="AS148" s="40" t="s">
        <v>263</v>
      </c>
      <c r="AT148" s="41" t="s">
        <v>280</v>
      </c>
      <c r="AU148" s="38"/>
      <c r="AV148" s="38"/>
      <c r="AW148" s="38"/>
      <c r="AX148" s="38"/>
    </row>
    <row r="149" spans="1:50" ht="15" customHeight="1">
      <c r="A149" s="381"/>
      <c r="B149" s="121" t="s">
        <v>16</v>
      </c>
      <c r="C149" s="34"/>
      <c r="D149" s="34"/>
      <c r="E149" s="34"/>
      <c r="F149" s="35"/>
      <c r="G149" s="35"/>
      <c r="H149" s="35"/>
      <c r="I149" s="36"/>
      <c r="J149" s="36"/>
      <c r="K149" s="36"/>
      <c r="L149" s="126">
        <f t="shared" si="26"/>
        <v>0</v>
      </c>
      <c r="M149" s="126">
        <f t="shared" si="26"/>
        <v>0</v>
      </c>
      <c r="N149" s="126">
        <f t="shared" si="26"/>
        <v>0</v>
      </c>
      <c r="O149" s="365"/>
      <c r="P149" s="365"/>
      <c r="Q149" s="365"/>
      <c r="R149" s="365"/>
      <c r="S149" s="365"/>
      <c r="AS149" s="40" t="s">
        <v>263</v>
      </c>
      <c r="AT149" s="41" t="s">
        <v>281</v>
      </c>
      <c r="AU149" s="38"/>
      <c r="AV149" s="38"/>
      <c r="AW149" s="38"/>
      <c r="AX149" s="38"/>
    </row>
    <row r="150" spans="1:50" ht="15" customHeight="1">
      <c r="A150" s="384" t="s">
        <v>62</v>
      </c>
      <c r="B150" s="121" t="s">
        <v>15</v>
      </c>
      <c r="C150" s="128"/>
      <c r="D150" s="128"/>
      <c r="E150" s="128"/>
      <c r="F150" s="128"/>
      <c r="G150" s="128"/>
      <c r="H150" s="128"/>
      <c r="I150" s="36"/>
      <c r="J150" s="36"/>
      <c r="K150" s="36"/>
      <c r="L150" s="126">
        <f t="shared" si="26"/>
        <v>0</v>
      </c>
      <c r="M150" s="126">
        <f t="shared" si="26"/>
        <v>0</v>
      </c>
      <c r="N150" s="126">
        <f t="shared" si="26"/>
        <v>0</v>
      </c>
      <c r="O150" s="365"/>
      <c r="P150" s="365"/>
      <c r="Q150" s="365"/>
      <c r="R150" s="365"/>
      <c r="S150" s="365"/>
      <c r="AS150" s="40" t="s">
        <v>263</v>
      </c>
      <c r="AT150" s="41" t="s">
        <v>282</v>
      </c>
      <c r="AU150" s="38"/>
      <c r="AV150" s="38"/>
      <c r="AW150" s="38"/>
      <c r="AX150" s="38"/>
    </row>
    <row r="151" spans="1:50" ht="15" customHeight="1">
      <c r="A151" s="384"/>
      <c r="B151" s="121" t="s">
        <v>16</v>
      </c>
      <c r="C151" s="128"/>
      <c r="D151" s="128"/>
      <c r="E151" s="128"/>
      <c r="F151" s="128"/>
      <c r="G151" s="128"/>
      <c r="H151" s="128"/>
      <c r="I151" s="36"/>
      <c r="J151" s="36"/>
      <c r="K151" s="36"/>
      <c r="L151" s="126">
        <f t="shared" si="26"/>
        <v>0</v>
      </c>
      <c r="M151" s="126">
        <f t="shared" si="26"/>
        <v>0</v>
      </c>
      <c r="N151" s="126">
        <f t="shared" si="26"/>
        <v>0</v>
      </c>
      <c r="O151" s="365"/>
      <c r="P151" s="365"/>
      <c r="Q151" s="365"/>
      <c r="R151" s="365"/>
      <c r="S151" s="365"/>
      <c r="AS151" s="40" t="s">
        <v>263</v>
      </c>
      <c r="AT151" s="41" t="s">
        <v>283</v>
      </c>
      <c r="AU151" s="38"/>
      <c r="AV151" s="38"/>
      <c r="AW151" s="38"/>
      <c r="AX151" s="38"/>
    </row>
    <row r="152" spans="1:50" ht="15" customHeight="1">
      <c r="A152" s="386" t="s">
        <v>63</v>
      </c>
      <c r="B152" s="121" t="s">
        <v>15</v>
      </c>
      <c r="C152" s="128"/>
      <c r="D152" s="128"/>
      <c r="E152" s="128"/>
      <c r="F152" s="128"/>
      <c r="G152" s="128"/>
      <c r="H152" s="128"/>
      <c r="I152" s="36"/>
      <c r="J152" s="36"/>
      <c r="K152" s="36"/>
      <c r="L152" s="126">
        <f t="shared" si="26"/>
        <v>0</v>
      </c>
      <c r="M152" s="126">
        <f t="shared" si="26"/>
        <v>0</v>
      </c>
      <c r="N152" s="126">
        <f t="shared" si="26"/>
        <v>0</v>
      </c>
      <c r="O152" s="365"/>
      <c r="P152" s="365"/>
      <c r="Q152" s="365"/>
      <c r="R152" s="365"/>
      <c r="S152" s="365"/>
      <c r="AS152" s="40" t="s">
        <v>263</v>
      </c>
      <c r="AT152" s="41" t="s">
        <v>284</v>
      </c>
      <c r="AU152" s="38"/>
      <c r="AV152" s="38"/>
      <c r="AW152" s="38"/>
      <c r="AX152" s="38"/>
    </row>
    <row r="153" spans="1:50" ht="15" customHeight="1">
      <c r="A153" s="386"/>
      <c r="B153" s="121" t="s">
        <v>16</v>
      </c>
      <c r="C153" s="128"/>
      <c r="D153" s="128"/>
      <c r="E153" s="128"/>
      <c r="F153" s="128"/>
      <c r="G153" s="128"/>
      <c r="H153" s="128"/>
      <c r="I153" s="36"/>
      <c r="J153" s="36"/>
      <c r="K153" s="36"/>
      <c r="L153" s="126">
        <f t="shared" si="26"/>
        <v>0</v>
      </c>
      <c r="M153" s="126">
        <f t="shared" si="26"/>
        <v>0</v>
      </c>
      <c r="N153" s="126">
        <f t="shared" si="26"/>
        <v>0</v>
      </c>
      <c r="O153" s="365"/>
      <c r="P153" s="365"/>
      <c r="Q153" s="365"/>
      <c r="R153" s="365"/>
      <c r="S153" s="365"/>
      <c r="AS153" s="40" t="s">
        <v>263</v>
      </c>
      <c r="AT153" s="41" t="s">
        <v>285</v>
      </c>
      <c r="AU153" s="38"/>
      <c r="AV153" s="38"/>
      <c r="AW153" s="38"/>
      <c r="AX153" s="38"/>
    </row>
    <row r="154" spans="1:50" ht="15" customHeight="1">
      <c r="A154" s="384" t="s">
        <v>64</v>
      </c>
      <c r="B154" s="121" t="s">
        <v>15</v>
      </c>
      <c r="C154" s="128"/>
      <c r="D154" s="128"/>
      <c r="E154" s="128"/>
      <c r="F154" s="128"/>
      <c r="G154" s="128"/>
      <c r="H154" s="128"/>
      <c r="I154" s="36"/>
      <c r="J154" s="36"/>
      <c r="K154" s="36"/>
      <c r="L154" s="126">
        <f t="shared" si="26"/>
        <v>0</v>
      </c>
      <c r="M154" s="126">
        <f t="shared" si="26"/>
        <v>0</v>
      </c>
      <c r="N154" s="126">
        <f t="shared" si="26"/>
        <v>0</v>
      </c>
      <c r="O154" s="365"/>
      <c r="P154" s="365"/>
      <c r="Q154" s="365"/>
      <c r="R154" s="365"/>
      <c r="S154" s="365"/>
      <c r="AS154" s="40" t="s">
        <v>263</v>
      </c>
      <c r="AT154" s="41" t="s">
        <v>286</v>
      </c>
      <c r="AU154" s="38"/>
      <c r="AV154" s="38"/>
      <c r="AW154" s="38"/>
      <c r="AX154" s="38"/>
    </row>
    <row r="155" spans="1:50" ht="15" customHeight="1">
      <c r="A155" s="384"/>
      <c r="B155" s="121" t="s">
        <v>16</v>
      </c>
      <c r="C155" s="128"/>
      <c r="D155" s="128"/>
      <c r="E155" s="128"/>
      <c r="F155" s="128"/>
      <c r="G155" s="128"/>
      <c r="H155" s="128"/>
      <c r="I155" s="36"/>
      <c r="J155" s="36"/>
      <c r="K155" s="36"/>
      <c r="L155" s="126">
        <f t="shared" si="26"/>
        <v>0</v>
      </c>
      <c r="M155" s="126">
        <f t="shared" si="26"/>
        <v>0</v>
      </c>
      <c r="N155" s="126">
        <f t="shared" si="26"/>
        <v>0</v>
      </c>
      <c r="O155" s="365"/>
      <c r="P155" s="365"/>
      <c r="Q155" s="365"/>
      <c r="R155" s="365"/>
      <c r="S155" s="365"/>
      <c r="AS155" s="40" t="s">
        <v>263</v>
      </c>
      <c r="AT155" s="41" t="s">
        <v>287</v>
      </c>
      <c r="AU155" s="38"/>
      <c r="AV155" s="38"/>
      <c r="AW155" s="38"/>
      <c r="AX155" s="38"/>
    </row>
    <row r="156" spans="1:50" ht="15" customHeight="1">
      <c r="A156" s="385" t="s">
        <v>66</v>
      </c>
      <c r="B156" s="122" t="s">
        <v>15</v>
      </c>
      <c r="C156" s="128"/>
      <c r="D156" s="128"/>
      <c r="E156" s="128"/>
      <c r="F156" s="128"/>
      <c r="G156" s="128"/>
      <c r="H156" s="128"/>
      <c r="I156" s="36"/>
      <c r="J156" s="36"/>
      <c r="K156" s="36"/>
      <c r="L156" s="126">
        <f t="shared" si="26"/>
        <v>0</v>
      </c>
      <c r="M156" s="126">
        <f t="shared" si="26"/>
        <v>0</v>
      </c>
      <c r="N156" s="126">
        <f t="shared" si="26"/>
        <v>0</v>
      </c>
      <c r="O156" s="365"/>
      <c r="P156" s="365"/>
      <c r="Q156" s="365"/>
      <c r="R156" s="365"/>
      <c r="S156" s="365"/>
      <c r="AS156" s="40" t="s">
        <v>263</v>
      </c>
      <c r="AT156" s="41" t="s">
        <v>288</v>
      </c>
      <c r="AU156" s="38"/>
      <c r="AV156" s="38"/>
      <c r="AW156" s="38"/>
      <c r="AX156" s="38"/>
    </row>
    <row r="157" spans="1:50" ht="15" customHeight="1">
      <c r="A157" s="385"/>
      <c r="B157" s="122" t="s">
        <v>16</v>
      </c>
      <c r="C157" s="128"/>
      <c r="D157" s="128"/>
      <c r="E157" s="128"/>
      <c r="F157" s="128"/>
      <c r="G157" s="128"/>
      <c r="H157" s="128"/>
      <c r="I157" s="36"/>
      <c r="J157" s="36"/>
      <c r="K157" s="36"/>
      <c r="L157" s="126">
        <f t="shared" ref="L157:N171" si="27">SUM(C157,F157,I157)</f>
        <v>0</v>
      </c>
      <c r="M157" s="126">
        <f t="shared" si="27"/>
        <v>0</v>
      </c>
      <c r="N157" s="126">
        <f t="shared" si="27"/>
        <v>0</v>
      </c>
      <c r="O157" s="365"/>
      <c r="P157" s="365"/>
      <c r="Q157" s="365"/>
      <c r="R157" s="365"/>
      <c r="S157" s="365"/>
      <c r="AS157" s="40" t="s">
        <v>263</v>
      </c>
      <c r="AT157" s="41" t="s">
        <v>289</v>
      </c>
      <c r="AU157" s="38"/>
      <c r="AV157" s="38"/>
      <c r="AW157" s="38"/>
      <c r="AX157" s="38"/>
    </row>
    <row r="158" spans="1:50" ht="15" customHeight="1">
      <c r="A158" s="385" t="s">
        <v>67</v>
      </c>
      <c r="B158" s="122" t="s">
        <v>15</v>
      </c>
      <c r="C158" s="128"/>
      <c r="D158" s="128"/>
      <c r="E158" s="128"/>
      <c r="F158" s="128"/>
      <c r="G158" s="128"/>
      <c r="H158" s="128"/>
      <c r="I158" s="36"/>
      <c r="J158" s="36"/>
      <c r="K158" s="36"/>
      <c r="L158" s="126">
        <f t="shared" si="27"/>
        <v>0</v>
      </c>
      <c r="M158" s="126">
        <f t="shared" si="27"/>
        <v>0</v>
      </c>
      <c r="N158" s="126">
        <f t="shared" si="27"/>
        <v>0</v>
      </c>
      <c r="O158" s="365"/>
      <c r="P158" s="365"/>
      <c r="Q158" s="365"/>
      <c r="R158" s="365"/>
      <c r="S158" s="365"/>
      <c r="AS158" s="40" t="s">
        <v>263</v>
      </c>
      <c r="AT158" s="41" t="s">
        <v>290</v>
      </c>
      <c r="AU158" s="38"/>
      <c r="AV158" s="38"/>
      <c r="AW158" s="38"/>
      <c r="AX158" s="38"/>
    </row>
    <row r="159" spans="1:50" ht="15" customHeight="1">
      <c r="A159" s="385"/>
      <c r="B159" s="122" t="s">
        <v>16</v>
      </c>
      <c r="C159" s="128"/>
      <c r="D159" s="128"/>
      <c r="E159" s="128"/>
      <c r="F159" s="128"/>
      <c r="G159" s="128"/>
      <c r="H159" s="128"/>
      <c r="I159" s="36"/>
      <c r="J159" s="36"/>
      <c r="K159" s="36"/>
      <c r="L159" s="126">
        <f t="shared" si="27"/>
        <v>0</v>
      </c>
      <c r="M159" s="126">
        <f t="shared" si="27"/>
        <v>0</v>
      </c>
      <c r="N159" s="126">
        <f t="shared" si="27"/>
        <v>0</v>
      </c>
      <c r="O159" s="365"/>
      <c r="P159" s="365"/>
      <c r="Q159" s="365"/>
      <c r="R159" s="365"/>
      <c r="S159" s="365"/>
      <c r="AS159" s="40" t="s">
        <v>291</v>
      </c>
      <c r="AT159" s="41" t="s">
        <v>292</v>
      </c>
      <c r="AU159" s="38"/>
      <c r="AV159" s="38"/>
      <c r="AW159" s="38"/>
      <c r="AX159" s="38"/>
    </row>
    <row r="160" spans="1:50" ht="15" customHeight="1">
      <c r="A160" s="385" t="s">
        <v>68</v>
      </c>
      <c r="B160" s="122" t="s">
        <v>15</v>
      </c>
      <c r="C160" s="128"/>
      <c r="D160" s="128"/>
      <c r="E160" s="128"/>
      <c r="F160" s="128"/>
      <c r="G160" s="128"/>
      <c r="H160" s="128"/>
      <c r="I160" s="36"/>
      <c r="J160" s="36"/>
      <c r="K160" s="36"/>
      <c r="L160" s="126">
        <f t="shared" si="27"/>
        <v>0</v>
      </c>
      <c r="M160" s="126">
        <f t="shared" si="27"/>
        <v>0</v>
      </c>
      <c r="N160" s="126">
        <f t="shared" si="27"/>
        <v>0</v>
      </c>
      <c r="O160" s="365"/>
      <c r="P160" s="365"/>
      <c r="Q160" s="365"/>
      <c r="R160" s="365"/>
      <c r="S160" s="365"/>
      <c r="AS160" s="40" t="s">
        <v>293</v>
      </c>
      <c r="AT160" s="41" t="s">
        <v>294</v>
      </c>
      <c r="AU160" s="38"/>
      <c r="AV160" s="38"/>
      <c r="AW160" s="38"/>
      <c r="AX160" s="38"/>
    </row>
    <row r="161" spans="1:50" ht="15" customHeight="1">
      <c r="A161" s="385"/>
      <c r="B161" s="122" t="s">
        <v>16</v>
      </c>
      <c r="C161" s="128"/>
      <c r="D161" s="128"/>
      <c r="E161" s="128"/>
      <c r="F161" s="128"/>
      <c r="G161" s="128"/>
      <c r="H161" s="128"/>
      <c r="I161" s="36"/>
      <c r="J161" s="36"/>
      <c r="K161" s="36"/>
      <c r="L161" s="126">
        <f t="shared" si="27"/>
        <v>0</v>
      </c>
      <c r="M161" s="126">
        <f t="shared" si="27"/>
        <v>0</v>
      </c>
      <c r="N161" s="126">
        <f t="shared" si="27"/>
        <v>0</v>
      </c>
      <c r="O161" s="365"/>
      <c r="P161" s="365"/>
      <c r="Q161" s="365"/>
      <c r="R161" s="365"/>
      <c r="S161" s="365"/>
      <c r="AS161" s="40" t="s">
        <v>293</v>
      </c>
      <c r="AT161" s="41" t="s">
        <v>295</v>
      </c>
      <c r="AU161" s="38"/>
      <c r="AV161" s="38"/>
      <c r="AW161" s="38"/>
      <c r="AX161" s="38"/>
    </row>
    <row r="162" spans="1:50" ht="15" customHeight="1">
      <c r="A162" s="387" t="s">
        <v>69</v>
      </c>
      <c r="B162" s="122" t="s">
        <v>15</v>
      </c>
      <c r="C162" s="128"/>
      <c r="D162" s="128"/>
      <c r="E162" s="128"/>
      <c r="F162" s="128"/>
      <c r="G162" s="128"/>
      <c r="H162" s="128"/>
      <c r="I162" s="36"/>
      <c r="J162" s="36"/>
      <c r="K162" s="36"/>
      <c r="L162" s="126">
        <f t="shared" si="27"/>
        <v>0</v>
      </c>
      <c r="M162" s="126">
        <f t="shared" si="27"/>
        <v>0</v>
      </c>
      <c r="N162" s="126">
        <f t="shared" si="27"/>
        <v>0</v>
      </c>
      <c r="O162" s="365"/>
      <c r="P162" s="365"/>
      <c r="Q162" s="365"/>
      <c r="R162" s="365"/>
      <c r="S162" s="365"/>
      <c r="AS162" s="40" t="s">
        <v>296</v>
      </c>
      <c r="AT162" s="41" t="s">
        <v>297</v>
      </c>
      <c r="AU162" s="38"/>
      <c r="AV162" s="38"/>
      <c r="AW162" s="38"/>
      <c r="AX162" s="38"/>
    </row>
    <row r="163" spans="1:50" ht="15" customHeight="1">
      <c r="A163" s="387"/>
      <c r="B163" s="122" t="s">
        <v>16</v>
      </c>
      <c r="C163" s="128"/>
      <c r="D163" s="128"/>
      <c r="E163" s="128"/>
      <c r="F163" s="128"/>
      <c r="G163" s="128"/>
      <c r="H163" s="128"/>
      <c r="I163" s="36"/>
      <c r="J163" s="36"/>
      <c r="K163" s="36"/>
      <c r="L163" s="126">
        <f t="shared" si="27"/>
        <v>0</v>
      </c>
      <c r="M163" s="126">
        <f t="shared" si="27"/>
        <v>0</v>
      </c>
      <c r="N163" s="126">
        <f t="shared" si="27"/>
        <v>0</v>
      </c>
      <c r="O163" s="365"/>
      <c r="P163" s="365"/>
      <c r="Q163" s="365"/>
      <c r="R163" s="365"/>
      <c r="S163" s="365"/>
      <c r="AS163" s="40" t="s">
        <v>296</v>
      </c>
      <c r="AT163" s="41" t="s">
        <v>298</v>
      </c>
      <c r="AU163" s="38"/>
      <c r="AV163" s="38"/>
      <c r="AW163" s="38"/>
      <c r="AX163" s="38"/>
    </row>
    <row r="164" spans="1:50" ht="15" customHeight="1">
      <c r="A164" s="387" t="s">
        <v>70</v>
      </c>
      <c r="B164" s="122" t="s">
        <v>15</v>
      </c>
      <c r="C164" s="128"/>
      <c r="D164" s="128"/>
      <c r="E164" s="128"/>
      <c r="F164" s="128"/>
      <c r="G164" s="128"/>
      <c r="H164" s="128"/>
      <c r="I164" s="36"/>
      <c r="J164" s="36"/>
      <c r="K164" s="36"/>
      <c r="L164" s="126">
        <f t="shared" si="27"/>
        <v>0</v>
      </c>
      <c r="M164" s="126">
        <f t="shared" si="27"/>
        <v>0</v>
      </c>
      <c r="N164" s="126">
        <f t="shared" si="27"/>
        <v>0</v>
      </c>
      <c r="O164" s="365"/>
      <c r="P164" s="365"/>
      <c r="Q164" s="365"/>
      <c r="R164" s="365"/>
      <c r="S164" s="365"/>
      <c r="AS164" s="40" t="s">
        <v>296</v>
      </c>
      <c r="AT164" s="41" t="s">
        <v>299</v>
      </c>
      <c r="AU164" s="38"/>
      <c r="AV164" s="38"/>
      <c r="AW164" s="38"/>
      <c r="AX164" s="38"/>
    </row>
    <row r="165" spans="1:50" ht="15" customHeight="1">
      <c r="A165" s="387"/>
      <c r="B165" s="122" t="s">
        <v>16</v>
      </c>
      <c r="C165" s="128"/>
      <c r="D165" s="128"/>
      <c r="E165" s="128"/>
      <c r="F165" s="128"/>
      <c r="G165" s="128"/>
      <c r="H165" s="128"/>
      <c r="I165" s="36"/>
      <c r="J165" s="36"/>
      <c r="K165" s="36"/>
      <c r="L165" s="126">
        <f t="shared" si="27"/>
        <v>0</v>
      </c>
      <c r="M165" s="126">
        <f t="shared" si="27"/>
        <v>0</v>
      </c>
      <c r="N165" s="126">
        <f t="shared" si="27"/>
        <v>0</v>
      </c>
      <c r="O165" s="365"/>
      <c r="P165" s="365"/>
      <c r="Q165" s="365"/>
      <c r="R165" s="365"/>
      <c r="S165" s="365"/>
      <c r="AS165" s="40" t="s">
        <v>296</v>
      </c>
      <c r="AT165" s="41" t="s">
        <v>300</v>
      </c>
      <c r="AU165" s="38"/>
      <c r="AV165" s="38"/>
      <c r="AW165" s="38"/>
      <c r="AX165" s="38"/>
    </row>
    <row r="166" spans="1:50" ht="15" customHeight="1">
      <c r="A166" s="387" t="s">
        <v>71</v>
      </c>
      <c r="B166" s="122" t="s">
        <v>15</v>
      </c>
      <c r="C166" s="128"/>
      <c r="D166" s="128"/>
      <c r="E166" s="128"/>
      <c r="F166" s="128"/>
      <c r="G166" s="128"/>
      <c r="H166" s="128"/>
      <c r="I166" s="36"/>
      <c r="J166" s="36"/>
      <c r="K166" s="36"/>
      <c r="L166" s="126">
        <f t="shared" si="27"/>
        <v>0</v>
      </c>
      <c r="M166" s="126">
        <f t="shared" si="27"/>
        <v>0</v>
      </c>
      <c r="N166" s="126">
        <f t="shared" si="27"/>
        <v>0</v>
      </c>
      <c r="O166" s="365"/>
      <c r="P166" s="365"/>
      <c r="Q166" s="365"/>
      <c r="R166" s="365"/>
      <c r="S166" s="365"/>
      <c r="AS166" s="40" t="s">
        <v>296</v>
      </c>
      <c r="AT166" s="41" t="s">
        <v>301</v>
      </c>
      <c r="AU166" s="38"/>
      <c r="AV166" s="38"/>
      <c r="AW166" s="38"/>
      <c r="AX166" s="38"/>
    </row>
    <row r="167" spans="1:50" ht="15" customHeight="1">
      <c r="A167" s="387"/>
      <c r="B167" s="122" t="s">
        <v>16</v>
      </c>
      <c r="C167" s="128"/>
      <c r="D167" s="128"/>
      <c r="E167" s="128"/>
      <c r="F167" s="128"/>
      <c r="G167" s="128"/>
      <c r="H167" s="128"/>
      <c r="I167" s="36"/>
      <c r="J167" s="36"/>
      <c r="K167" s="36"/>
      <c r="L167" s="126">
        <f t="shared" si="27"/>
        <v>0</v>
      </c>
      <c r="M167" s="126">
        <f t="shared" si="27"/>
        <v>0</v>
      </c>
      <c r="N167" s="126">
        <f t="shared" si="27"/>
        <v>0</v>
      </c>
      <c r="O167" s="365"/>
      <c r="P167" s="365"/>
      <c r="Q167" s="365"/>
      <c r="R167" s="365"/>
      <c r="S167" s="365"/>
      <c r="AS167" s="40" t="s">
        <v>296</v>
      </c>
      <c r="AT167" s="41" t="s">
        <v>302</v>
      </c>
      <c r="AU167" s="38"/>
      <c r="AV167" s="38"/>
      <c r="AW167" s="38"/>
      <c r="AX167" s="38"/>
    </row>
    <row r="168" spans="1:50" ht="15" customHeight="1">
      <c r="A168" s="394" t="s">
        <v>96</v>
      </c>
      <c r="B168" s="122" t="s">
        <v>15</v>
      </c>
      <c r="C168" s="128"/>
      <c r="D168" s="128"/>
      <c r="E168" s="128"/>
      <c r="F168" s="128"/>
      <c r="G168" s="128"/>
      <c r="H168" s="128"/>
      <c r="I168" s="36"/>
      <c r="J168" s="36"/>
      <c r="K168" s="36"/>
      <c r="L168" s="126">
        <f t="shared" si="27"/>
        <v>0</v>
      </c>
      <c r="M168" s="126">
        <f t="shared" si="27"/>
        <v>0</v>
      </c>
      <c r="N168" s="126">
        <f t="shared" si="27"/>
        <v>0</v>
      </c>
      <c r="O168" s="365"/>
      <c r="P168" s="365"/>
      <c r="Q168" s="365"/>
      <c r="R168" s="365"/>
      <c r="S168" s="365"/>
      <c r="AS168" s="40" t="s">
        <v>296</v>
      </c>
      <c r="AT168" s="41" t="s">
        <v>303</v>
      </c>
      <c r="AU168" s="38"/>
      <c r="AV168" s="38"/>
      <c r="AW168" s="38"/>
      <c r="AX168" s="38"/>
    </row>
    <row r="169" spans="1:50" ht="26.25">
      <c r="A169" s="395"/>
      <c r="B169" s="122" t="s">
        <v>16</v>
      </c>
      <c r="C169" s="128"/>
      <c r="D169" s="128"/>
      <c r="E169" s="128"/>
      <c r="F169" s="128"/>
      <c r="G169" s="128"/>
      <c r="H169" s="128"/>
      <c r="I169" s="36"/>
      <c r="J169" s="36"/>
      <c r="K169" s="36"/>
      <c r="L169" s="126">
        <f t="shared" si="27"/>
        <v>0</v>
      </c>
      <c r="M169" s="126">
        <f t="shared" si="27"/>
        <v>0</v>
      </c>
      <c r="N169" s="126">
        <f t="shared" si="27"/>
        <v>0</v>
      </c>
      <c r="O169" s="365"/>
      <c r="P169" s="365"/>
      <c r="Q169" s="365"/>
      <c r="R169" s="365"/>
      <c r="S169" s="365"/>
      <c r="AS169" s="40" t="s">
        <v>296</v>
      </c>
      <c r="AT169" s="41" t="s">
        <v>304</v>
      </c>
      <c r="AU169" s="38"/>
      <c r="AV169" s="38"/>
      <c r="AW169" s="38"/>
      <c r="AX169" s="38"/>
    </row>
    <row r="170" spans="1:50" ht="24" customHeight="1">
      <c r="A170" s="388" t="s">
        <v>73</v>
      </c>
      <c r="B170" s="122" t="s">
        <v>15</v>
      </c>
      <c r="C170" s="128"/>
      <c r="D170" s="128"/>
      <c r="E170" s="128"/>
      <c r="F170" s="128"/>
      <c r="G170" s="128"/>
      <c r="H170" s="128"/>
      <c r="I170" s="36"/>
      <c r="J170" s="36"/>
      <c r="K170" s="36"/>
      <c r="L170" s="126">
        <f t="shared" si="27"/>
        <v>0</v>
      </c>
      <c r="M170" s="126">
        <f t="shared" si="27"/>
        <v>0</v>
      </c>
      <c r="N170" s="126">
        <f t="shared" si="27"/>
        <v>0</v>
      </c>
      <c r="O170" s="365"/>
      <c r="P170" s="365"/>
      <c r="Q170" s="365"/>
      <c r="R170" s="365"/>
      <c r="S170" s="365"/>
      <c r="AS170" s="40" t="s">
        <v>296</v>
      </c>
      <c r="AT170" s="41" t="s">
        <v>305</v>
      </c>
      <c r="AU170" s="38"/>
      <c r="AV170" s="38"/>
      <c r="AW170" s="38"/>
      <c r="AX170" s="38"/>
    </row>
    <row r="171" spans="1:50" ht="26.25">
      <c r="A171" s="389"/>
      <c r="B171" s="122" t="s">
        <v>16</v>
      </c>
      <c r="C171" s="128"/>
      <c r="D171" s="128"/>
      <c r="E171" s="128"/>
      <c r="F171" s="128"/>
      <c r="G171" s="128"/>
      <c r="H171" s="128"/>
      <c r="I171" s="36"/>
      <c r="J171" s="36"/>
      <c r="K171" s="36"/>
      <c r="L171" s="126">
        <f t="shared" si="27"/>
        <v>0</v>
      </c>
      <c r="M171" s="126">
        <f t="shared" si="27"/>
        <v>0</v>
      </c>
      <c r="N171" s="126">
        <f t="shared" si="27"/>
        <v>0</v>
      </c>
      <c r="O171" s="365"/>
      <c r="P171" s="365"/>
      <c r="Q171" s="365"/>
      <c r="R171" s="365"/>
      <c r="S171" s="365"/>
      <c r="AS171" s="40" t="s">
        <v>296</v>
      </c>
      <c r="AT171" s="41" t="s">
        <v>306</v>
      </c>
      <c r="AU171" s="38"/>
      <c r="AV171" s="38"/>
      <c r="AW171" s="38"/>
      <c r="AX171" s="38"/>
    </row>
    <row r="172" spans="1:50" ht="18.75" customHeight="1">
      <c r="A172" s="390" t="s">
        <v>127</v>
      </c>
      <c r="B172" s="13" t="s">
        <v>15</v>
      </c>
      <c r="C172" s="15">
        <f>SUM(C78,C80,C82,C84,C86,C88,C90,C92,C94,C96,C98)</f>
        <v>0</v>
      </c>
      <c r="D172" s="15">
        <f t="shared" ref="D172:N173" si="28">SUM(D78,D80,D82,D84,D86,D88,D90,D92,D94,D96,D98)</f>
        <v>0</v>
      </c>
      <c r="E172" s="15">
        <f t="shared" si="28"/>
        <v>0</v>
      </c>
      <c r="F172" s="15">
        <f t="shared" si="28"/>
        <v>0</v>
      </c>
      <c r="G172" s="15">
        <f t="shared" si="28"/>
        <v>0</v>
      </c>
      <c r="H172" s="15">
        <f t="shared" si="28"/>
        <v>0</v>
      </c>
      <c r="I172" s="15">
        <f t="shared" si="28"/>
        <v>0</v>
      </c>
      <c r="J172" s="15">
        <f t="shared" si="28"/>
        <v>0</v>
      </c>
      <c r="K172" s="15">
        <f t="shared" si="28"/>
        <v>0</v>
      </c>
      <c r="L172" s="15">
        <f t="shared" si="28"/>
        <v>0</v>
      </c>
      <c r="M172" s="15">
        <f t="shared" si="28"/>
        <v>0</v>
      </c>
      <c r="N172" s="15">
        <f t="shared" si="28"/>
        <v>0</v>
      </c>
      <c r="O172" s="391"/>
      <c r="P172" s="392"/>
      <c r="Q172" s="392"/>
      <c r="R172" s="392"/>
      <c r="S172" s="393"/>
      <c r="AS172" s="40" t="s">
        <v>296</v>
      </c>
      <c r="AT172" s="41" t="s">
        <v>307</v>
      </c>
      <c r="AU172" s="38"/>
      <c r="AV172" s="38"/>
      <c r="AW172" s="38"/>
      <c r="AX172" s="38"/>
    </row>
    <row r="173" spans="1:50" ht="18.75" customHeight="1">
      <c r="A173" s="390"/>
      <c r="B173" s="13" t="s">
        <v>16</v>
      </c>
      <c r="C173" s="19">
        <f>SUM(C79,C81,C83,C85,C87,C89,C91,C93,C95,C97,C99)</f>
        <v>0</v>
      </c>
      <c r="D173" s="19">
        <f t="shared" si="28"/>
        <v>0</v>
      </c>
      <c r="E173" s="19">
        <f t="shared" si="28"/>
        <v>0</v>
      </c>
      <c r="F173" s="19">
        <f t="shared" si="28"/>
        <v>0</v>
      </c>
      <c r="G173" s="19">
        <f t="shared" si="28"/>
        <v>0</v>
      </c>
      <c r="H173" s="19">
        <f t="shared" si="28"/>
        <v>0</v>
      </c>
      <c r="I173" s="19">
        <f t="shared" si="28"/>
        <v>0</v>
      </c>
      <c r="J173" s="19">
        <f t="shared" si="28"/>
        <v>0</v>
      </c>
      <c r="K173" s="19">
        <f t="shared" si="28"/>
        <v>0</v>
      </c>
      <c r="L173" s="19">
        <f t="shared" si="28"/>
        <v>0</v>
      </c>
      <c r="M173" s="19">
        <f t="shared" si="28"/>
        <v>0</v>
      </c>
      <c r="N173" s="19">
        <f t="shared" si="28"/>
        <v>0</v>
      </c>
      <c r="O173" s="391"/>
      <c r="P173" s="392"/>
      <c r="Q173" s="392"/>
      <c r="R173" s="392"/>
      <c r="S173" s="393"/>
      <c r="AS173" s="40" t="s">
        <v>308</v>
      </c>
      <c r="AT173" s="41" t="s">
        <v>309</v>
      </c>
      <c r="AU173" s="38"/>
      <c r="AV173" s="38"/>
      <c r="AW173" s="38"/>
      <c r="AX173" s="38"/>
    </row>
    <row r="174" spans="1:50" ht="18.75" customHeight="1">
      <c r="A174" s="401" t="s">
        <v>128</v>
      </c>
      <c r="B174" s="13" t="s">
        <v>15</v>
      </c>
      <c r="C174" s="15">
        <f>SUM(C100,C102,C104,C106,C108,C110,C112,C114,C116)</f>
        <v>0</v>
      </c>
      <c r="D174" s="15">
        <f t="shared" ref="D174:N175" si="29">SUM(D100,D102,D104,D106,D108,D110,D112,D114,D116)</f>
        <v>0</v>
      </c>
      <c r="E174" s="15">
        <f t="shared" si="29"/>
        <v>0</v>
      </c>
      <c r="F174" s="15">
        <f t="shared" si="29"/>
        <v>0</v>
      </c>
      <c r="G174" s="15">
        <f t="shared" si="29"/>
        <v>0</v>
      </c>
      <c r="H174" s="15">
        <f t="shared" si="29"/>
        <v>0</v>
      </c>
      <c r="I174" s="15">
        <f t="shared" si="29"/>
        <v>0</v>
      </c>
      <c r="J174" s="15">
        <f t="shared" si="29"/>
        <v>0</v>
      </c>
      <c r="K174" s="15">
        <f t="shared" si="29"/>
        <v>0</v>
      </c>
      <c r="L174" s="15">
        <f t="shared" si="29"/>
        <v>0</v>
      </c>
      <c r="M174" s="15">
        <f t="shared" si="29"/>
        <v>0</v>
      </c>
      <c r="N174" s="15">
        <f t="shared" si="29"/>
        <v>0</v>
      </c>
      <c r="O174" s="391"/>
      <c r="P174" s="392"/>
      <c r="Q174" s="392"/>
      <c r="R174" s="392"/>
      <c r="S174" s="393"/>
      <c r="AS174" s="40" t="s">
        <v>308</v>
      </c>
      <c r="AT174" s="41" t="s">
        <v>310</v>
      </c>
      <c r="AU174" s="38"/>
      <c r="AV174" s="38"/>
      <c r="AW174" s="38"/>
      <c r="AX174" s="38"/>
    </row>
    <row r="175" spans="1:50" ht="18.75" customHeight="1">
      <c r="A175" s="401"/>
      <c r="B175" s="13" t="s">
        <v>16</v>
      </c>
      <c r="C175" s="19">
        <f>SUM(C101,C103,C105,C107,C109,C111,C113,C115,C117)</f>
        <v>0</v>
      </c>
      <c r="D175" s="19">
        <f t="shared" si="29"/>
        <v>0</v>
      </c>
      <c r="E175" s="19">
        <f t="shared" si="29"/>
        <v>0</v>
      </c>
      <c r="F175" s="19">
        <f t="shared" si="29"/>
        <v>0</v>
      </c>
      <c r="G175" s="19">
        <f t="shared" si="29"/>
        <v>0</v>
      </c>
      <c r="H175" s="19">
        <f t="shared" si="29"/>
        <v>0</v>
      </c>
      <c r="I175" s="19">
        <f t="shared" si="29"/>
        <v>0</v>
      </c>
      <c r="J175" s="19">
        <f t="shared" si="29"/>
        <v>0</v>
      </c>
      <c r="K175" s="19">
        <f t="shared" si="29"/>
        <v>0</v>
      </c>
      <c r="L175" s="19">
        <f t="shared" si="29"/>
        <v>0</v>
      </c>
      <c r="M175" s="19">
        <f t="shared" si="29"/>
        <v>0</v>
      </c>
      <c r="N175" s="19">
        <f t="shared" si="29"/>
        <v>0</v>
      </c>
      <c r="O175" s="391"/>
      <c r="P175" s="392"/>
      <c r="Q175" s="392"/>
      <c r="R175" s="392"/>
      <c r="S175" s="393"/>
      <c r="AS175" s="40" t="s">
        <v>311</v>
      </c>
      <c r="AT175" s="41" t="s">
        <v>312</v>
      </c>
      <c r="AU175" s="38"/>
      <c r="AV175" s="38"/>
      <c r="AW175" s="38"/>
      <c r="AX175" s="38"/>
    </row>
    <row r="176" spans="1:50" ht="18.75" customHeight="1">
      <c r="A176" s="402" t="s">
        <v>98</v>
      </c>
      <c r="B176" s="13" t="s">
        <v>15</v>
      </c>
      <c r="C176" s="15">
        <f>SUM(C118,C120,C122,C124,C126,C128,C130,C132,C134)</f>
        <v>0</v>
      </c>
      <c r="D176" s="15">
        <f t="shared" ref="D176:N177" si="30">SUM(D118,D120,D122,D124,D126,D128,D130,D132,D134)</f>
        <v>0</v>
      </c>
      <c r="E176" s="15">
        <f t="shared" si="30"/>
        <v>0</v>
      </c>
      <c r="F176" s="15">
        <f t="shared" si="30"/>
        <v>0</v>
      </c>
      <c r="G176" s="15">
        <f t="shared" si="30"/>
        <v>0</v>
      </c>
      <c r="H176" s="15">
        <f t="shared" si="30"/>
        <v>0</v>
      </c>
      <c r="I176" s="15">
        <f t="shared" si="30"/>
        <v>0</v>
      </c>
      <c r="J176" s="15">
        <f t="shared" si="30"/>
        <v>0</v>
      </c>
      <c r="K176" s="15">
        <f t="shared" si="30"/>
        <v>0</v>
      </c>
      <c r="L176" s="15">
        <f t="shared" si="30"/>
        <v>0</v>
      </c>
      <c r="M176" s="15">
        <f t="shared" si="30"/>
        <v>0</v>
      </c>
      <c r="N176" s="15">
        <f t="shared" si="30"/>
        <v>0</v>
      </c>
      <c r="O176" s="391"/>
      <c r="P176" s="392"/>
      <c r="Q176" s="392"/>
      <c r="R176" s="392"/>
      <c r="S176" s="393"/>
      <c r="AS176" s="40" t="s">
        <v>311</v>
      </c>
      <c r="AT176" s="41" t="s">
        <v>313</v>
      </c>
      <c r="AU176" s="38"/>
      <c r="AV176" s="38"/>
      <c r="AW176" s="38"/>
      <c r="AX176" s="38"/>
    </row>
    <row r="177" spans="1:50" ht="18.75" customHeight="1">
      <c r="A177" s="402"/>
      <c r="B177" s="13" t="s">
        <v>16</v>
      </c>
      <c r="C177" s="19">
        <f>SUM(C119,C121,C123,C125,C127,C129,C131,C133,C135)</f>
        <v>0</v>
      </c>
      <c r="D177" s="19">
        <f t="shared" si="30"/>
        <v>0</v>
      </c>
      <c r="E177" s="19">
        <f t="shared" si="30"/>
        <v>0</v>
      </c>
      <c r="F177" s="19">
        <f t="shared" si="30"/>
        <v>0</v>
      </c>
      <c r="G177" s="19">
        <f t="shared" si="30"/>
        <v>0</v>
      </c>
      <c r="H177" s="19">
        <f t="shared" si="30"/>
        <v>0</v>
      </c>
      <c r="I177" s="19">
        <f t="shared" si="30"/>
        <v>0</v>
      </c>
      <c r="J177" s="19">
        <f t="shared" si="30"/>
        <v>0</v>
      </c>
      <c r="K177" s="19">
        <f t="shared" si="30"/>
        <v>0</v>
      </c>
      <c r="L177" s="19">
        <f t="shared" si="30"/>
        <v>0</v>
      </c>
      <c r="M177" s="19">
        <f t="shared" si="30"/>
        <v>0</v>
      </c>
      <c r="N177" s="19">
        <f t="shared" si="30"/>
        <v>0</v>
      </c>
      <c r="O177" s="391"/>
      <c r="P177" s="392"/>
      <c r="Q177" s="392"/>
      <c r="R177" s="392"/>
      <c r="S177" s="393"/>
      <c r="AS177" s="40" t="s">
        <v>311</v>
      </c>
      <c r="AT177" s="41" t="s">
        <v>314</v>
      </c>
      <c r="AU177" s="38"/>
      <c r="AV177" s="38"/>
      <c r="AW177" s="38"/>
      <c r="AX177" s="38"/>
    </row>
    <row r="178" spans="1:50" ht="27" customHeight="1">
      <c r="A178" s="396" t="s">
        <v>129</v>
      </c>
      <c r="B178" s="13" t="s">
        <v>15</v>
      </c>
      <c r="C178" s="15">
        <f>SUM(C136,C138,C140,C142,C144,C146,C148,C150,C152,C154)</f>
        <v>0</v>
      </c>
      <c r="D178" s="15">
        <f t="shared" ref="C178:K179" si="31">SUM(D136,D138,D140,D142,D144,D146,D148,D150,D152,D154)</f>
        <v>0</v>
      </c>
      <c r="E178" s="15">
        <f t="shared" si="31"/>
        <v>0</v>
      </c>
      <c r="F178" s="15">
        <f t="shared" si="31"/>
        <v>0</v>
      </c>
      <c r="G178" s="15">
        <f t="shared" si="31"/>
        <v>0</v>
      </c>
      <c r="H178" s="15">
        <f t="shared" si="31"/>
        <v>0</v>
      </c>
      <c r="I178" s="15">
        <f t="shared" si="31"/>
        <v>0</v>
      </c>
      <c r="J178" s="15">
        <f t="shared" si="31"/>
        <v>0</v>
      </c>
      <c r="K178" s="15">
        <f t="shared" si="31"/>
        <v>0</v>
      </c>
      <c r="L178" s="15">
        <f t="shared" ref="L178:N183" si="32">SUM(C178,F178,I178)</f>
        <v>0</v>
      </c>
      <c r="M178" s="15">
        <f t="shared" si="32"/>
        <v>0</v>
      </c>
      <c r="N178" s="15">
        <f t="shared" si="32"/>
        <v>0</v>
      </c>
      <c r="O178" s="391"/>
      <c r="P178" s="392"/>
      <c r="Q178" s="392"/>
      <c r="R178" s="392"/>
      <c r="S178" s="393"/>
      <c r="AS178" s="40" t="s">
        <v>311</v>
      </c>
      <c r="AT178" s="41" t="s">
        <v>315</v>
      </c>
      <c r="AU178" s="38"/>
      <c r="AV178" s="38"/>
      <c r="AW178" s="38"/>
      <c r="AX178" s="38"/>
    </row>
    <row r="179" spans="1:50" ht="26.25">
      <c r="A179" s="396"/>
      <c r="B179" s="13" t="s">
        <v>16</v>
      </c>
      <c r="C179" s="19">
        <f t="shared" si="31"/>
        <v>0</v>
      </c>
      <c r="D179" s="19">
        <f t="shared" si="31"/>
        <v>0</v>
      </c>
      <c r="E179" s="19">
        <f t="shared" si="31"/>
        <v>0</v>
      </c>
      <c r="F179" s="19">
        <f t="shared" si="31"/>
        <v>0</v>
      </c>
      <c r="G179" s="19">
        <f t="shared" si="31"/>
        <v>0</v>
      </c>
      <c r="H179" s="19">
        <f t="shared" si="31"/>
        <v>0</v>
      </c>
      <c r="I179" s="19">
        <f t="shared" si="31"/>
        <v>0</v>
      </c>
      <c r="J179" s="19">
        <f t="shared" si="31"/>
        <v>0</v>
      </c>
      <c r="K179" s="19">
        <f t="shared" si="31"/>
        <v>0</v>
      </c>
      <c r="L179" s="19">
        <f t="shared" si="32"/>
        <v>0</v>
      </c>
      <c r="M179" s="19">
        <f t="shared" si="32"/>
        <v>0</v>
      </c>
      <c r="N179" s="19">
        <f t="shared" si="32"/>
        <v>0</v>
      </c>
      <c r="O179" s="391"/>
      <c r="P179" s="392"/>
      <c r="Q179" s="392"/>
      <c r="R179" s="392"/>
      <c r="S179" s="393"/>
      <c r="AS179" s="40" t="s">
        <v>311</v>
      </c>
      <c r="AT179" s="41" t="s">
        <v>316</v>
      </c>
      <c r="AU179" s="38"/>
      <c r="AV179" s="38"/>
      <c r="AW179" s="38"/>
      <c r="AX179" s="38"/>
    </row>
    <row r="180" spans="1:50" ht="26.25">
      <c r="A180" s="397" t="s">
        <v>100</v>
      </c>
      <c r="B180" s="13" t="s">
        <v>15</v>
      </c>
      <c r="C180" s="15">
        <f>SUM(C156,C158,C160,C162,C164,C166,C168,C170)</f>
        <v>0</v>
      </c>
      <c r="D180" s="15">
        <f t="shared" ref="D180:K181" si="33">SUM(D156,D158,D160,D162,D164,D166,D168,D170)</f>
        <v>0</v>
      </c>
      <c r="E180" s="15">
        <f t="shared" si="33"/>
        <v>0</v>
      </c>
      <c r="F180" s="15">
        <f t="shared" si="33"/>
        <v>0</v>
      </c>
      <c r="G180" s="15">
        <f t="shared" si="33"/>
        <v>0</v>
      </c>
      <c r="H180" s="15">
        <f t="shared" si="33"/>
        <v>0</v>
      </c>
      <c r="I180" s="15">
        <f t="shared" si="33"/>
        <v>0</v>
      </c>
      <c r="J180" s="15">
        <f t="shared" si="33"/>
        <v>0</v>
      </c>
      <c r="K180" s="15">
        <f t="shared" si="33"/>
        <v>0</v>
      </c>
      <c r="L180" s="15">
        <f t="shared" si="32"/>
        <v>0</v>
      </c>
      <c r="M180" s="15">
        <f t="shared" si="32"/>
        <v>0</v>
      </c>
      <c r="N180" s="15">
        <f t="shared" si="32"/>
        <v>0</v>
      </c>
      <c r="O180" s="156"/>
      <c r="P180" s="157"/>
      <c r="Q180" s="157"/>
      <c r="R180" s="157"/>
      <c r="S180" s="158"/>
      <c r="AS180" s="40" t="s">
        <v>311</v>
      </c>
      <c r="AT180" s="41" t="s">
        <v>317</v>
      </c>
      <c r="AU180" s="38"/>
      <c r="AV180" s="38"/>
      <c r="AW180" s="38"/>
      <c r="AX180" s="38"/>
    </row>
    <row r="181" spans="1:50" ht="26.25">
      <c r="A181" s="398"/>
      <c r="B181" s="13" t="s">
        <v>16</v>
      </c>
      <c r="C181" s="19">
        <f>SUM(C157,C159,C161,C163,C165,C167,C169,C171)</f>
        <v>0</v>
      </c>
      <c r="D181" s="19">
        <f t="shared" si="33"/>
        <v>0</v>
      </c>
      <c r="E181" s="19">
        <f t="shared" si="33"/>
        <v>0</v>
      </c>
      <c r="F181" s="19">
        <f t="shared" si="33"/>
        <v>0</v>
      </c>
      <c r="G181" s="19">
        <f t="shared" si="33"/>
        <v>0</v>
      </c>
      <c r="H181" s="19">
        <f t="shared" si="33"/>
        <v>0</v>
      </c>
      <c r="I181" s="19">
        <f t="shared" si="33"/>
        <v>0</v>
      </c>
      <c r="J181" s="19">
        <f t="shared" si="33"/>
        <v>0</v>
      </c>
      <c r="K181" s="19">
        <f t="shared" si="33"/>
        <v>0</v>
      </c>
      <c r="L181" s="19">
        <f t="shared" si="32"/>
        <v>0</v>
      </c>
      <c r="M181" s="19">
        <f t="shared" si="32"/>
        <v>0</v>
      </c>
      <c r="N181" s="19">
        <f t="shared" si="32"/>
        <v>0</v>
      </c>
      <c r="O181" s="156"/>
      <c r="P181" s="157"/>
      <c r="Q181" s="157"/>
      <c r="R181" s="157"/>
      <c r="S181" s="158"/>
      <c r="AS181" s="40" t="s">
        <v>311</v>
      </c>
      <c r="AT181" s="41" t="s">
        <v>318</v>
      </c>
      <c r="AU181" s="38"/>
      <c r="AV181" s="38"/>
      <c r="AW181" s="38"/>
      <c r="AX181" s="38"/>
    </row>
    <row r="182" spans="1:50" ht="26.25">
      <c r="A182" s="399" t="s">
        <v>130</v>
      </c>
      <c r="B182" s="13" t="s">
        <v>15</v>
      </c>
      <c r="C182" s="15">
        <f>SUM(C172,C174,C176,C178,C180)</f>
        <v>0</v>
      </c>
      <c r="D182" s="15">
        <f t="shared" ref="D182:K183" si="34">SUM(D172,D174,D176,D178,D180)</f>
        <v>0</v>
      </c>
      <c r="E182" s="15">
        <f t="shared" si="34"/>
        <v>0</v>
      </c>
      <c r="F182" s="15">
        <f t="shared" si="34"/>
        <v>0</v>
      </c>
      <c r="G182" s="15">
        <f t="shared" si="34"/>
        <v>0</v>
      </c>
      <c r="H182" s="15">
        <f t="shared" si="34"/>
        <v>0</v>
      </c>
      <c r="I182" s="15">
        <f t="shared" si="34"/>
        <v>0</v>
      </c>
      <c r="J182" s="15">
        <f t="shared" si="34"/>
        <v>0</v>
      </c>
      <c r="K182" s="15">
        <f t="shared" si="34"/>
        <v>0</v>
      </c>
      <c r="L182" s="15">
        <f t="shared" si="32"/>
        <v>0</v>
      </c>
      <c r="M182" s="15">
        <f t="shared" si="32"/>
        <v>0</v>
      </c>
      <c r="N182" s="15">
        <f t="shared" si="32"/>
        <v>0</v>
      </c>
      <c r="O182" s="391"/>
      <c r="P182" s="392"/>
      <c r="Q182" s="392"/>
      <c r="R182" s="392"/>
      <c r="S182" s="393"/>
      <c r="AS182" s="40" t="s">
        <v>311</v>
      </c>
      <c r="AT182" s="41" t="s">
        <v>319</v>
      </c>
      <c r="AU182" s="38"/>
      <c r="AV182" s="38"/>
      <c r="AW182" s="38"/>
      <c r="AX182" s="38"/>
    </row>
    <row r="183" spans="1:50" ht="18.75" customHeight="1">
      <c r="A183" s="400"/>
      <c r="B183" s="13" t="s">
        <v>16</v>
      </c>
      <c r="C183" s="19">
        <f>SUM(C173,C175,C177,C179,C181)</f>
        <v>0</v>
      </c>
      <c r="D183" s="19">
        <f t="shared" si="34"/>
        <v>0</v>
      </c>
      <c r="E183" s="19">
        <f t="shared" si="34"/>
        <v>0</v>
      </c>
      <c r="F183" s="19">
        <f t="shared" si="34"/>
        <v>0</v>
      </c>
      <c r="G183" s="19">
        <f t="shared" si="34"/>
        <v>0</v>
      </c>
      <c r="H183" s="19">
        <f t="shared" si="34"/>
        <v>0</v>
      </c>
      <c r="I183" s="19">
        <f t="shared" si="34"/>
        <v>0</v>
      </c>
      <c r="J183" s="19">
        <f t="shared" si="34"/>
        <v>0</v>
      </c>
      <c r="K183" s="19">
        <f t="shared" si="34"/>
        <v>0</v>
      </c>
      <c r="L183" s="19">
        <f t="shared" si="32"/>
        <v>0</v>
      </c>
      <c r="M183" s="19">
        <f t="shared" si="32"/>
        <v>0</v>
      </c>
      <c r="N183" s="19">
        <f t="shared" si="32"/>
        <v>0</v>
      </c>
      <c r="O183" s="391"/>
      <c r="P183" s="392"/>
      <c r="Q183" s="392"/>
      <c r="R183" s="392"/>
      <c r="S183" s="393"/>
      <c r="AS183" s="40" t="s">
        <v>311</v>
      </c>
      <c r="AT183" s="41" t="s">
        <v>320</v>
      </c>
      <c r="AU183" s="38"/>
      <c r="AV183" s="38"/>
      <c r="AW183" s="38"/>
      <c r="AX183" s="38"/>
    </row>
    <row r="184" spans="1:50" ht="30" customHeight="1">
      <c r="A184" s="405"/>
      <c r="B184" s="406"/>
      <c r="C184" s="407" t="s">
        <v>74</v>
      </c>
      <c r="D184" s="407"/>
      <c r="E184" s="407"/>
      <c r="F184" s="407"/>
      <c r="G184" s="407" t="s">
        <v>75</v>
      </c>
      <c r="H184" s="407"/>
      <c r="I184" s="407"/>
      <c r="J184" s="407"/>
      <c r="K184" s="407"/>
      <c r="L184" s="407"/>
      <c r="M184" s="407"/>
      <c r="N184" s="407"/>
      <c r="O184" s="407" t="s">
        <v>76</v>
      </c>
      <c r="P184" s="407"/>
      <c r="Q184" s="408"/>
      <c r="R184" s="408"/>
      <c r="S184" s="409"/>
      <c r="AS184" s="40" t="s">
        <v>311</v>
      </c>
      <c r="AT184" s="41" t="s">
        <v>321</v>
      </c>
      <c r="AU184" s="38"/>
      <c r="AV184" s="38"/>
      <c r="AW184" s="38"/>
      <c r="AX184" s="38"/>
    </row>
    <row r="185" spans="1:50">
      <c r="A185" s="403" t="s">
        <v>137</v>
      </c>
      <c r="B185" s="404"/>
      <c r="C185" s="410"/>
      <c r="D185" s="410"/>
      <c r="E185" s="410"/>
      <c r="F185" s="410"/>
      <c r="G185" s="410"/>
      <c r="H185" s="410"/>
      <c r="I185" s="410"/>
      <c r="J185" s="410"/>
      <c r="K185" s="410"/>
      <c r="L185" s="410"/>
      <c r="M185" s="410"/>
      <c r="N185" s="410"/>
      <c r="O185" s="410"/>
      <c r="P185" s="410"/>
      <c r="Q185" s="411"/>
      <c r="R185" s="411"/>
      <c r="S185" s="412"/>
      <c r="AS185" s="40" t="s">
        <v>311</v>
      </c>
      <c r="AT185" s="41" t="s">
        <v>322</v>
      </c>
      <c r="AU185" s="38"/>
      <c r="AV185" s="38"/>
      <c r="AW185" s="38"/>
      <c r="AX185" s="38"/>
    </row>
    <row r="186" spans="1:50">
      <c r="A186" s="403" t="s">
        <v>77</v>
      </c>
      <c r="B186" s="404"/>
      <c r="C186" s="410"/>
      <c r="D186" s="410"/>
      <c r="E186" s="410"/>
      <c r="F186" s="410"/>
      <c r="G186" s="410"/>
      <c r="H186" s="410"/>
      <c r="I186" s="410"/>
      <c r="J186" s="410"/>
      <c r="K186" s="410"/>
      <c r="L186" s="410"/>
      <c r="M186" s="410"/>
      <c r="N186" s="410"/>
      <c r="O186" s="410"/>
      <c r="P186" s="410"/>
      <c r="Q186" s="411"/>
      <c r="R186" s="411"/>
      <c r="S186" s="412"/>
      <c r="AS186" s="40" t="s">
        <v>311</v>
      </c>
      <c r="AT186" s="41" t="s">
        <v>323</v>
      </c>
      <c r="AU186" s="38"/>
      <c r="AV186" s="38"/>
      <c r="AW186" s="38"/>
      <c r="AX186" s="38"/>
    </row>
    <row r="187" spans="1:50">
      <c r="A187" s="403" t="s">
        <v>78</v>
      </c>
      <c r="B187" s="404"/>
      <c r="C187" s="410"/>
      <c r="D187" s="410"/>
      <c r="E187" s="410"/>
      <c r="F187" s="410"/>
      <c r="G187" s="410"/>
      <c r="H187" s="410"/>
      <c r="I187" s="410"/>
      <c r="J187" s="410"/>
      <c r="K187" s="410"/>
      <c r="L187" s="410"/>
      <c r="M187" s="410"/>
      <c r="N187" s="410"/>
      <c r="O187" s="410"/>
      <c r="P187" s="410"/>
      <c r="Q187" s="411"/>
      <c r="R187" s="411"/>
      <c r="S187" s="412"/>
      <c r="AS187" s="40" t="s">
        <v>311</v>
      </c>
      <c r="AT187" s="41" t="s">
        <v>324</v>
      </c>
      <c r="AU187" s="38"/>
      <c r="AV187" s="38"/>
      <c r="AW187" s="38"/>
      <c r="AX187" s="38"/>
    </row>
    <row r="188" spans="1:50">
      <c r="A188" s="403" t="s">
        <v>79</v>
      </c>
      <c r="B188" s="404"/>
      <c r="C188" s="410"/>
      <c r="D188" s="410"/>
      <c r="E188" s="410"/>
      <c r="F188" s="410"/>
      <c r="G188" s="410"/>
      <c r="H188" s="410"/>
      <c r="I188" s="410"/>
      <c r="J188" s="410"/>
      <c r="K188" s="410"/>
      <c r="L188" s="410"/>
      <c r="M188" s="410"/>
      <c r="N188" s="410"/>
      <c r="O188" s="410"/>
      <c r="P188" s="410"/>
      <c r="Q188" s="411"/>
      <c r="R188" s="411"/>
      <c r="S188" s="412"/>
      <c r="AS188" s="40" t="s">
        <v>311</v>
      </c>
      <c r="AT188" s="41" t="s">
        <v>325</v>
      </c>
      <c r="AU188" s="38"/>
      <c r="AV188" s="38"/>
      <c r="AW188" s="38"/>
      <c r="AX188" s="38"/>
    </row>
    <row r="189" spans="1:50" s="38" customFormat="1">
      <c r="A189" s="49"/>
      <c r="S189" s="50"/>
      <c r="AR189" s="39"/>
      <c r="AS189" s="40" t="s">
        <v>311</v>
      </c>
      <c r="AT189" s="41" t="s">
        <v>326</v>
      </c>
    </row>
    <row r="190" spans="1:50">
      <c r="A190" s="51"/>
      <c r="S190" s="52"/>
      <c r="AS190" s="40" t="s">
        <v>311</v>
      </c>
      <c r="AT190" s="41" t="s">
        <v>327</v>
      </c>
      <c r="AU190" s="38"/>
      <c r="AV190" s="38"/>
      <c r="AW190" s="38"/>
      <c r="AX190" s="38"/>
    </row>
    <row r="191" spans="1:50" ht="15.75" thickBot="1">
      <c r="A191" s="53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5"/>
      <c r="AS191" s="40" t="s">
        <v>311</v>
      </c>
      <c r="AT191" s="41" t="s">
        <v>328</v>
      </c>
      <c r="AU191" s="38"/>
      <c r="AV191" s="38"/>
      <c r="AW191" s="38"/>
      <c r="AX191" s="38"/>
    </row>
    <row r="192" spans="1:50">
      <c r="AS192" s="40" t="s">
        <v>311</v>
      </c>
      <c r="AT192" s="41" t="s">
        <v>329</v>
      </c>
      <c r="AU192" s="38"/>
      <c r="AV192" s="38"/>
      <c r="AW192" s="38"/>
      <c r="AX192" s="38"/>
    </row>
    <row r="193" spans="45:50">
      <c r="AS193" s="40" t="s">
        <v>311</v>
      </c>
      <c r="AT193" s="41" t="s">
        <v>330</v>
      </c>
      <c r="AU193" s="38"/>
      <c r="AV193" s="38"/>
      <c r="AW193" s="38"/>
      <c r="AX193" s="38"/>
    </row>
    <row r="194" spans="45:50">
      <c r="AS194" s="40" t="s">
        <v>311</v>
      </c>
      <c r="AT194" s="41" t="s">
        <v>331</v>
      </c>
      <c r="AU194" s="38"/>
      <c r="AV194" s="38"/>
      <c r="AW194" s="38"/>
      <c r="AX194" s="38"/>
    </row>
    <row r="195" spans="45:50">
      <c r="AS195" s="40" t="s">
        <v>311</v>
      </c>
      <c r="AT195" s="41" t="s">
        <v>332</v>
      </c>
      <c r="AU195" s="38"/>
      <c r="AV195" s="38"/>
      <c r="AW195" s="38"/>
      <c r="AX195" s="38"/>
    </row>
    <row r="196" spans="45:50">
      <c r="AS196" s="40" t="s">
        <v>311</v>
      </c>
      <c r="AT196" s="41" t="s">
        <v>333</v>
      </c>
      <c r="AU196" s="38"/>
      <c r="AV196" s="38"/>
      <c r="AW196" s="38"/>
      <c r="AX196" s="38"/>
    </row>
    <row r="197" spans="45:50">
      <c r="AS197" s="40" t="s">
        <v>311</v>
      </c>
      <c r="AT197" s="41" t="s">
        <v>334</v>
      </c>
      <c r="AU197" s="38"/>
      <c r="AV197" s="38"/>
      <c r="AW197" s="38"/>
      <c r="AX197" s="38"/>
    </row>
    <row r="198" spans="45:50">
      <c r="AS198" s="40" t="s">
        <v>311</v>
      </c>
      <c r="AT198" s="41" t="s">
        <v>335</v>
      </c>
      <c r="AU198" s="38"/>
      <c r="AV198" s="38"/>
      <c r="AW198" s="38"/>
      <c r="AX198" s="38"/>
    </row>
    <row r="199" spans="45:50">
      <c r="AS199" s="40" t="s">
        <v>311</v>
      </c>
      <c r="AT199" s="41" t="s">
        <v>336</v>
      </c>
      <c r="AU199" s="38"/>
      <c r="AV199" s="38"/>
      <c r="AW199" s="38"/>
      <c r="AX199" s="38"/>
    </row>
    <row r="200" spans="45:50">
      <c r="AS200" s="40" t="s">
        <v>311</v>
      </c>
      <c r="AT200" s="41" t="s">
        <v>337</v>
      </c>
      <c r="AU200" s="38"/>
      <c r="AV200" s="38"/>
      <c r="AW200" s="38"/>
      <c r="AX200" s="38"/>
    </row>
    <row r="201" spans="45:50">
      <c r="AS201" s="40" t="s">
        <v>311</v>
      </c>
      <c r="AT201" s="41" t="s">
        <v>338</v>
      </c>
      <c r="AU201" s="38"/>
      <c r="AV201" s="38"/>
      <c r="AW201" s="38"/>
      <c r="AX201" s="38"/>
    </row>
    <row r="202" spans="45:50">
      <c r="AS202" s="40" t="s">
        <v>311</v>
      </c>
      <c r="AT202" s="41" t="s">
        <v>339</v>
      </c>
      <c r="AU202" s="38"/>
      <c r="AV202" s="38"/>
      <c r="AW202" s="38"/>
      <c r="AX202" s="38"/>
    </row>
    <row r="203" spans="45:50">
      <c r="AS203" s="40" t="s">
        <v>311</v>
      </c>
      <c r="AT203" s="41" t="s">
        <v>340</v>
      </c>
      <c r="AU203" s="38"/>
      <c r="AV203" s="38"/>
      <c r="AW203" s="38"/>
      <c r="AX203" s="38"/>
    </row>
    <row r="204" spans="45:50">
      <c r="AS204" s="40" t="s">
        <v>311</v>
      </c>
      <c r="AT204" s="41" t="s">
        <v>341</v>
      </c>
      <c r="AU204" s="38"/>
      <c r="AV204" s="38"/>
      <c r="AW204" s="38"/>
      <c r="AX204" s="38"/>
    </row>
    <row r="205" spans="45:50">
      <c r="AS205" s="40" t="s">
        <v>311</v>
      </c>
      <c r="AT205" s="41" t="s">
        <v>342</v>
      </c>
      <c r="AU205" s="38"/>
      <c r="AV205" s="38"/>
      <c r="AW205" s="38"/>
      <c r="AX205" s="38"/>
    </row>
    <row r="206" spans="45:50">
      <c r="AS206" s="40" t="s">
        <v>311</v>
      </c>
      <c r="AT206" s="41" t="s">
        <v>343</v>
      </c>
      <c r="AU206" s="38"/>
      <c r="AV206" s="38"/>
      <c r="AW206" s="38"/>
      <c r="AX206" s="38"/>
    </row>
    <row r="207" spans="45:50">
      <c r="AS207" s="40" t="s">
        <v>311</v>
      </c>
      <c r="AT207" s="41" t="s">
        <v>344</v>
      </c>
      <c r="AU207" s="38"/>
      <c r="AV207" s="38"/>
      <c r="AW207" s="38"/>
      <c r="AX207" s="38"/>
    </row>
    <row r="208" spans="45:50">
      <c r="AS208" s="40" t="s">
        <v>345</v>
      </c>
      <c r="AT208" s="41" t="s">
        <v>346</v>
      </c>
      <c r="AU208" s="38"/>
      <c r="AV208" s="38"/>
      <c r="AW208" s="38"/>
      <c r="AX208" s="38"/>
    </row>
    <row r="209" spans="45:50">
      <c r="AS209" s="40" t="s">
        <v>345</v>
      </c>
      <c r="AT209" s="41" t="s">
        <v>347</v>
      </c>
      <c r="AU209" s="38"/>
      <c r="AV209" s="38"/>
      <c r="AW209" s="38"/>
      <c r="AX209" s="38"/>
    </row>
    <row r="210" spans="45:50">
      <c r="AS210" s="40" t="s">
        <v>345</v>
      </c>
      <c r="AT210" s="41" t="s">
        <v>348</v>
      </c>
      <c r="AU210" s="38"/>
      <c r="AV210" s="38"/>
      <c r="AW210" s="38"/>
      <c r="AX210" s="38"/>
    </row>
    <row r="211" spans="45:50">
      <c r="AS211" s="40" t="s">
        <v>345</v>
      </c>
      <c r="AT211" s="41" t="s">
        <v>349</v>
      </c>
      <c r="AU211" s="38"/>
      <c r="AV211" s="38"/>
      <c r="AW211" s="38"/>
      <c r="AX211" s="38"/>
    </row>
    <row r="212" spans="45:50">
      <c r="AS212" s="40" t="s">
        <v>345</v>
      </c>
      <c r="AT212" s="41" t="s">
        <v>350</v>
      </c>
      <c r="AU212" s="38"/>
      <c r="AV212" s="38"/>
      <c r="AW212" s="38"/>
      <c r="AX212" s="38"/>
    </row>
    <row r="213" spans="45:50">
      <c r="AS213" s="40" t="s">
        <v>345</v>
      </c>
      <c r="AT213" s="41" t="s">
        <v>351</v>
      </c>
      <c r="AU213" s="38"/>
      <c r="AV213" s="38"/>
      <c r="AW213" s="38"/>
      <c r="AX213" s="38"/>
    </row>
    <row r="214" spans="45:50">
      <c r="AS214" s="40" t="s">
        <v>345</v>
      </c>
      <c r="AT214" s="41" t="s">
        <v>352</v>
      </c>
      <c r="AU214" s="38"/>
      <c r="AV214" s="38"/>
      <c r="AW214" s="38"/>
      <c r="AX214" s="38"/>
    </row>
    <row r="215" spans="45:50">
      <c r="AS215" s="40" t="s">
        <v>345</v>
      </c>
      <c r="AT215" s="41" t="s">
        <v>353</v>
      </c>
      <c r="AU215" s="38"/>
      <c r="AV215" s="38"/>
      <c r="AW215" s="38"/>
      <c r="AX215" s="38"/>
    </row>
    <row r="216" spans="45:50">
      <c r="AS216" s="40" t="s">
        <v>345</v>
      </c>
      <c r="AT216" s="41" t="s">
        <v>354</v>
      </c>
      <c r="AU216" s="38"/>
      <c r="AV216" s="38"/>
      <c r="AW216" s="38"/>
      <c r="AX216" s="38"/>
    </row>
    <row r="217" spans="45:50">
      <c r="AS217" s="40" t="s">
        <v>345</v>
      </c>
      <c r="AT217" s="41" t="s">
        <v>355</v>
      </c>
      <c r="AU217" s="38"/>
      <c r="AV217" s="38"/>
      <c r="AW217" s="38"/>
      <c r="AX217" s="38"/>
    </row>
    <row r="218" spans="45:50">
      <c r="AS218" s="40" t="s">
        <v>345</v>
      </c>
      <c r="AT218" s="41" t="s">
        <v>356</v>
      </c>
      <c r="AU218" s="38"/>
      <c r="AV218" s="38"/>
      <c r="AW218" s="38"/>
      <c r="AX218" s="38"/>
    </row>
    <row r="219" spans="45:50">
      <c r="AS219" s="40" t="s">
        <v>345</v>
      </c>
      <c r="AT219" s="41" t="s">
        <v>357</v>
      </c>
      <c r="AU219" s="38"/>
      <c r="AV219" s="38"/>
      <c r="AW219" s="38"/>
      <c r="AX219" s="38"/>
    </row>
    <row r="220" spans="45:50">
      <c r="AS220" s="40" t="s">
        <v>345</v>
      </c>
      <c r="AT220" s="41" t="s">
        <v>358</v>
      </c>
      <c r="AU220" s="38"/>
      <c r="AV220" s="38"/>
      <c r="AW220" s="38"/>
      <c r="AX220" s="38"/>
    </row>
    <row r="221" spans="45:50">
      <c r="AS221" s="40" t="s">
        <v>345</v>
      </c>
      <c r="AT221" s="41" t="s">
        <v>359</v>
      </c>
      <c r="AU221" s="38"/>
      <c r="AV221" s="38"/>
      <c r="AW221" s="38"/>
      <c r="AX221" s="38"/>
    </row>
    <row r="222" spans="45:50">
      <c r="AS222" s="40" t="s">
        <v>345</v>
      </c>
      <c r="AT222" s="41" t="s">
        <v>360</v>
      </c>
      <c r="AU222" s="38"/>
      <c r="AV222" s="38"/>
      <c r="AW222" s="38"/>
      <c r="AX222" s="38"/>
    </row>
    <row r="223" spans="45:50">
      <c r="AS223" s="40" t="s">
        <v>345</v>
      </c>
      <c r="AT223" s="41" t="s">
        <v>361</v>
      </c>
      <c r="AU223" s="38"/>
      <c r="AV223" s="38"/>
      <c r="AW223" s="38"/>
      <c r="AX223" s="38"/>
    </row>
    <row r="224" spans="45:50">
      <c r="AS224" s="40" t="s">
        <v>345</v>
      </c>
      <c r="AT224" s="41" t="s">
        <v>362</v>
      </c>
      <c r="AU224" s="38"/>
      <c r="AV224" s="38"/>
      <c r="AW224" s="38"/>
      <c r="AX224" s="38"/>
    </row>
    <row r="225" spans="45:50">
      <c r="AS225" s="40" t="s">
        <v>345</v>
      </c>
      <c r="AT225" s="41" t="s">
        <v>363</v>
      </c>
      <c r="AU225" s="38"/>
      <c r="AV225" s="38"/>
      <c r="AW225" s="38"/>
      <c r="AX225" s="38"/>
    </row>
    <row r="226" spans="45:50">
      <c r="AS226" s="40" t="s">
        <v>345</v>
      </c>
      <c r="AT226" s="41" t="s">
        <v>364</v>
      </c>
      <c r="AU226" s="38"/>
      <c r="AV226" s="38"/>
      <c r="AW226" s="38"/>
      <c r="AX226" s="38"/>
    </row>
    <row r="227" spans="45:50">
      <c r="AS227" s="40" t="s">
        <v>345</v>
      </c>
      <c r="AT227" s="41" t="s">
        <v>365</v>
      </c>
      <c r="AU227" s="38"/>
      <c r="AV227" s="38"/>
      <c r="AW227" s="38"/>
      <c r="AX227" s="38"/>
    </row>
    <row r="228" spans="45:50">
      <c r="AS228" s="40" t="s">
        <v>345</v>
      </c>
      <c r="AT228" s="41" t="s">
        <v>366</v>
      </c>
      <c r="AU228" s="38"/>
      <c r="AV228" s="38"/>
      <c r="AW228" s="38"/>
      <c r="AX228" s="38"/>
    </row>
    <row r="229" spans="45:50">
      <c r="AS229" s="40" t="s">
        <v>345</v>
      </c>
      <c r="AT229" s="41" t="s">
        <v>367</v>
      </c>
      <c r="AU229" s="38"/>
      <c r="AV229" s="38"/>
      <c r="AW229" s="38"/>
      <c r="AX229" s="38"/>
    </row>
    <row r="230" spans="45:50">
      <c r="AS230" s="40" t="s">
        <v>368</v>
      </c>
      <c r="AT230" s="41" t="s">
        <v>369</v>
      </c>
      <c r="AU230" s="38"/>
      <c r="AV230" s="38"/>
      <c r="AW230" s="38"/>
      <c r="AX230" s="38"/>
    </row>
    <row r="231" spans="45:50">
      <c r="AS231" s="40" t="s">
        <v>368</v>
      </c>
      <c r="AT231" s="41" t="s">
        <v>370</v>
      </c>
      <c r="AU231" s="38"/>
      <c r="AV231" s="38"/>
      <c r="AW231" s="38"/>
      <c r="AX231" s="38"/>
    </row>
    <row r="232" spans="45:50">
      <c r="AS232" s="40" t="s">
        <v>368</v>
      </c>
      <c r="AT232" s="41" t="s">
        <v>371</v>
      </c>
      <c r="AU232" s="38"/>
      <c r="AV232" s="38"/>
      <c r="AW232" s="38"/>
      <c r="AX232" s="38"/>
    </row>
    <row r="233" spans="45:50">
      <c r="AS233" s="40" t="s">
        <v>368</v>
      </c>
      <c r="AT233" s="41" t="s">
        <v>372</v>
      </c>
      <c r="AU233" s="38"/>
      <c r="AV233" s="38"/>
      <c r="AW233" s="38"/>
      <c r="AX233" s="38"/>
    </row>
    <row r="234" spans="45:50">
      <c r="AS234" s="40" t="s">
        <v>368</v>
      </c>
      <c r="AT234" s="41" t="s">
        <v>373</v>
      </c>
      <c r="AU234" s="38"/>
      <c r="AV234" s="38"/>
      <c r="AW234" s="38"/>
      <c r="AX234" s="38"/>
    </row>
    <row r="235" spans="45:50">
      <c r="AS235" s="40" t="s">
        <v>368</v>
      </c>
      <c r="AT235" s="41" t="s">
        <v>374</v>
      </c>
      <c r="AU235" s="38"/>
      <c r="AV235" s="38"/>
      <c r="AW235" s="38"/>
      <c r="AX235" s="38"/>
    </row>
    <row r="236" spans="45:50">
      <c r="AS236" s="40" t="s">
        <v>368</v>
      </c>
      <c r="AT236" s="41" t="s">
        <v>375</v>
      </c>
      <c r="AU236" s="38"/>
      <c r="AV236" s="38"/>
      <c r="AW236" s="38"/>
      <c r="AX236" s="38"/>
    </row>
    <row r="237" spans="45:50">
      <c r="AS237" s="40" t="s">
        <v>368</v>
      </c>
      <c r="AT237" s="41" t="s">
        <v>376</v>
      </c>
      <c r="AU237" s="38"/>
      <c r="AV237" s="38"/>
      <c r="AW237" s="38"/>
      <c r="AX237" s="38"/>
    </row>
    <row r="238" spans="45:50">
      <c r="AS238" s="40" t="s">
        <v>368</v>
      </c>
      <c r="AT238" s="41" t="s">
        <v>377</v>
      </c>
      <c r="AU238" s="38"/>
      <c r="AV238" s="38"/>
      <c r="AW238" s="38"/>
      <c r="AX238" s="38"/>
    </row>
    <row r="239" spans="45:50">
      <c r="AS239" s="40" t="s">
        <v>368</v>
      </c>
      <c r="AT239" s="41" t="s">
        <v>378</v>
      </c>
      <c r="AU239" s="38"/>
      <c r="AV239" s="38"/>
      <c r="AW239" s="38"/>
      <c r="AX239" s="38"/>
    </row>
    <row r="240" spans="45:50">
      <c r="AS240" s="40" t="s">
        <v>368</v>
      </c>
      <c r="AT240" s="41" t="s">
        <v>379</v>
      </c>
      <c r="AU240" s="38"/>
      <c r="AV240" s="38"/>
      <c r="AW240" s="38"/>
      <c r="AX240" s="38"/>
    </row>
    <row r="241" spans="45:50">
      <c r="AS241" s="40" t="s">
        <v>368</v>
      </c>
      <c r="AT241" s="41" t="s">
        <v>380</v>
      </c>
      <c r="AU241" s="38"/>
      <c r="AV241" s="38"/>
      <c r="AW241" s="38"/>
      <c r="AX241" s="38"/>
    </row>
    <row r="242" spans="45:50">
      <c r="AS242" s="40" t="s">
        <v>381</v>
      </c>
      <c r="AT242" s="41" t="s">
        <v>382</v>
      </c>
      <c r="AU242" s="38"/>
      <c r="AV242" s="38"/>
      <c r="AW242" s="38"/>
      <c r="AX242" s="38"/>
    </row>
    <row r="243" spans="45:50">
      <c r="AS243" s="40" t="s">
        <v>381</v>
      </c>
      <c r="AT243" s="41" t="s">
        <v>383</v>
      </c>
      <c r="AU243" s="38"/>
      <c r="AV243" s="38"/>
      <c r="AW243" s="38"/>
      <c r="AX243" s="38"/>
    </row>
    <row r="244" spans="45:50">
      <c r="AS244" s="40" t="s">
        <v>381</v>
      </c>
      <c r="AT244" s="41" t="s">
        <v>384</v>
      </c>
      <c r="AU244" s="38"/>
      <c r="AV244" s="38"/>
      <c r="AW244" s="38"/>
      <c r="AX244" s="38"/>
    </row>
    <row r="245" spans="45:50">
      <c r="AS245" s="40" t="s">
        <v>381</v>
      </c>
      <c r="AT245" s="41" t="s">
        <v>385</v>
      </c>
      <c r="AU245" s="38"/>
      <c r="AV245" s="38"/>
      <c r="AW245" s="38"/>
      <c r="AX245" s="38"/>
    </row>
    <row r="246" spans="45:50">
      <c r="AS246" s="40" t="s">
        <v>381</v>
      </c>
      <c r="AT246" s="41" t="s">
        <v>386</v>
      </c>
      <c r="AU246" s="38"/>
      <c r="AV246" s="38"/>
      <c r="AW246" s="38"/>
      <c r="AX246" s="38"/>
    </row>
    <row r="247" spans="45:50">
      <c r="AS247" s="40" t="s">
        <v>381</v>
      </c>
      <c r="AT247" s="41" t="s">
        <v>387</v>
      </c>
      <c r="AU247" s="38"/>
      <c r="AV247" s="38"/>
      <c r="AW247" s="38"/>
      <c r="AX247" s="38"/>
    </row>
    <row r="248" spans="45:50">
      <c r="AS248" s="40" t="s">
        <v>381</v>
      </c>
      <c r="AT248" s="41" t="s">
        <v>388</v>
      </c>
      <c r="AU248" s="38"/>
      <c r="AV248" s="38"/>
      <c r="AW248" s="38"/>
      <c r="AX248" s="38"/>
    </row>
    <row r="249" spans="45:50">
      <c r="AS249" s="40" t="s">
        <v>381</v>
      </c>
      <c r="AT249" s="41" t="s">
        <v>389</v>
      </c>
      <c r="AU249" s="38"/>
      <c r="AV249" s="38"/>
      <c r="AW249" s="38"/>
      <c r="AX249" s="38"/>
    </row>
    <row r="250" spans="45:50">
      <c r="AS250" s="40" t="s">
        <v>381</v>
      </c>
      <c r="AT250" s="41" t="s">
        <v>390</v>
      </c>
      <c r="AU250" s="38"/>
      <c r="AV250" s="38"/>
      <c r="AW250" s="38"/>
      <c r="AX250" s="38"/>
    </row>
    <row r="251" spans="45:50">
      <c r="AS251" s="40" t="s">
        <v>381</v>
      </c>
      <c r="AT251" s="41" t="s">
        <v>391</v>
      </c>
      <c r="AU251" s="38"/>
      <c r="AV251" s="38"/>
      <c r="AW251" s="38"/>
      <c r="AX251" s="38"/>
    </row>
    <row r="252" spans="45:50">
      <c r="AS252" s="40" t="s">
        <v>381</v>
      </c>
      <c r="AT252" s="41" t="s">
        <v>392</v>
      </c>
      <c r="AU252" s="38"/>
      <c r="AV252" s="38"/>
      <c r="AW252" s="38"/>
      <c r="AX252" s="38"/>
    </row>
    <row r="253" spans="45:50">
      <c r="AS253" s="40" t="s">
        <v>381</v>
      </c>
      <c r="AT253" s="41" t="s">
        <v>393</v>
      </c>
      <c r="AU253" s="38"/>
      <c r="AV253" s="38"/>
      <c r="AW253" s="38"/>
      <c r="AX253" s="38"/>
    </row>
    <row r="254" spans="45:50">
      <c r="AS254" s="40" t="s">
        <v>381</v>
      </c>
      <c r="AT254" s="41" t="s">
        <v>394</v>
      </c>
      <c r="AU254" s="38"/>
      <c r="AV254" s="38"/>
      <c r="AW254" s="38"/>
      <c r="AX254" s="38"/>
    </row>
    <row r="255" spans="45:50">
      <c r="AS255" s="40" t="s">
        <v>381</v>
      </c>
      <c r="AT255" s="41" t="s">
        <v>395</v>
      </c>
      <c r="AU255" s="38"/>
      <c r="AV255" s="38"/>
      <c r="AW255" s="38"/>
      <c r="AX255" s="38"/>
    </row>
    <row r="256" spans="45:50">
      <c r="AS256" s="40" t="s">
        <v>381</v>
      </c>
      <c r="AT256" s="41" t="s">
        <v>396</v>
      </c>
      <c r="AU256" s="38"/>
      <c r="AV256" s="38"/>
      <c r="AW256" s="38"/>
      <c r="AX256" s="38"/>
    </row>
    <row r="257" spans="45:50">
      <c r="AS257" s="40" t="s">
        <v>381</v>
      </c>
      <c r="AT257" s="41" t="s">
        <v>397</v>
      </c>
      <c r="AU257" s="38"/>
      <c r="AV257" s="38"/>
      <c r="AW257" s="38"/>
      <c r="AX257" s="38"/>
    </row>
    <row r="258" spans="45:50">
      <c r="AS258" s="40" t="s">
        <v>381</v>
      </c>
      <c r="AT258" s="41" t="s">
        <v>398</v>
      </c>
      <c r="AU258" s="38"/>
      <c r="AV258" s="38"/>
      <c r="AW258" s="38"/>
      <c r="AX258" s="38"/>
    </row>
    <row r="259" spans="45:50">
      <c r="AS259" s="40" t="s">
        <v>381</v>
      </c>
      <c r="AT259" s="41" t="s">
        <v>399</v>
      </c>
      <c r="AU259" s="38"/>
      <c r="AV259" s="38"/>
      <c r="AW259" s="38"/>
      <c r="AX259" s="38"/>
    </row>
    <row r="260" spans="45:50">
      <c r="AS260" s="40" t="s">
        <v>381</v>
      </c>
      <c r="AT260" s="41" t="s">
        <v>400</v>
      </c>
      <c r="AU260" s="38"/>
      <c r="AV260" s="38"/>
      <c r="AW260" s="38"/>
      <c r="AX260" s="38"/>
    </row>
    <row r="261" spans="45:50">
      <c r="AS261" s="40" t="s">
        <v>381</v>
      </c>
      <c r="AT261" s="41" t="s">
        <v>401</v>
      </c>
      <c r="AU261" s="38"/>
      <c r="AV261" s="38"/>
      <c r="AW261" s="38"/>
      <c r="AX261" s="38"/>
    </row>
    <row r="262" spans="45:50">
      <c r="AS262" s="40" t="s">
        <v>381</v>
      </c>
      <c r="AT262" s="41" t="s">
        <v>402</v>
      </c>
      <c r="AU262" s="38"/>
      <c r="AV262" s="38"/>
      <c r="AW262" s="38"/>
      <c r="AX262" s="38"/>
    </row>
    <row r="263" spans="45:50">
      <c r="AS263" s="40" t="s">
        <v>381</v>
      </c>
      <c r="AT263" s="41" t="s">
        <v>403</v>
      </c>
      <c r="AU263" s="38"/>
      <c r="AV263" s="38"/>
      <c r="AW263" s="38"/>
      <c r="AX263" s="38"/>
    </row>
    <row r="264" spans="45:50">
      <c r="AS264" s="40" t="s">
        <v>404</v>
      </c>
      <c r="AT264" s="41" t="s">
        <v>405</v>
      </c>
      <c r="AU264" s="38"/>
      <c r="AV264" s="38"/>
      <c r="AW264" s="38"/>
      <c r="AX264" s="38"/>
    </row>
    <row r="265" spans="45:50">
      <c r="AS265" s="40" t="s">
        <v>404</v>
      </c>
      <c r="AT265" s="41" t="s">
        <v>406</v>
      </c>
      <c r="AU265" s="38"/>
      <c r="AV265" s="38"/>
      <c r="AW265" s="38"/>
      <c r="AX265" s="38"/>
    </row>
    <row r="266" spans="45:50">
      <c r="AS266" s="40" t="s">
        <v>404</v>
      </c>
      <c r="AT266" s="41" t="s">
        <v>407</v>
      </c>
      <c r="AU266" s="38"/>
      <c r="AV266" s="38"/>
      <c r="AW266" s="38"/>
      <c r="AX266" s="38"/>
    </row>
    <row r="267" spans="45:50">
      <c r="AS267" s="40" t="s">
        <v>404</v>
      </c>
      <c r="AT267" s="41" t="s">
        <v>408</v>
      </c>
      <c r="AU267" s="38"/>
      <c r="AV267" s="38"/>
      <c r="AW267" s="38"/>
      <c r="AX267" s="38"/>
    </row>
    <row r="268" spans="45:50">
      <c r="AS268" s="40" t="s">
        <v>404</v>
      </c>
      <c r="AT268" s="41" t="s">
        <v>409</v>
      </c>
      <c r="AU268" s="38"/>
      <c r="AV268" s="38"/>
      <c r="AW268" s="38"/>
      <c r="AX268" s="38"/>
    </row>
    <row r="269" spans="45:50">
      <c r="AS269" s="40" t="s">
        <v>404</v>
      </c>
      <c r="AT269" s="41" t="s">
        <v>410</v>
      </c>
      <c r="AU269" s="38"/>
      <c r="AV269" s="38"/>
      <c r="AW269" s="38"/>
      <c r="AX269" s="38"/>
    </row>
    <row r="270" spans="45:50">
      <c r="AS270" s="40" t="s">
        <v>404</v>
      </c>
      <c r="AT270" s="41" t="s">
        <v>411</v>
      </c>
      <c r="AU270" s="38"/>
      <c r="AV270" s="38"/>
      <c r="AW270" s="38"/>
      <c r="AX270" s="38"/>
    </row>
    <row r="271" spans="45:50">
      <c r="AS271" s="40" t="s">
        <v>404</v>
      </c>
      <c r="AT271" s="41" t="s">
        <v>412</v>
      </c>
      <c r="AU271" s="38"/>
      <c r="AV271" s="38"/>
      <c r="AW271" s="38"/>
      <c r="AX271" s="38"/>
    </row>
    <row r="272" spans="45:50">
      <c r="AS272" s="40" t="s">
        <v>404</v>
      </c>
      <c r="AT272" s="41" t="s">
        <v>413</v>
      </c>
      <c r="AU272" s="38"/>
      <c r="AV272" s="38"/>
      <c r="AW272" s="38"/>
      <c r="AX272" s="38"/>
    </row>
    <row r="273" spans="45:50">
      <c r="AS273" s="40" t="s">
        <v>404</v>
      </c>
      <c r="AT273" s="41" t="s">
        <v>414</v>
      </c>
      <c r="AU273" s="38"/>
      <c r="AV273" s="38"/>
      <c r="AW273" s="38"/>
      <c r="AX273" s="38"/>
    </row>
    <row r="274" spans="45:50">
      <c r="AS274" s="40" t="s">
        <v>404</v>
      </c>
      <c r="AT274" s="41" t="s">
        <v>415</v>
      </c>
      <c r="AU274" s="38"/>
      <c r="AV274" s="38"/>
      <c r="AW274" s="38"/>
      <c r="AX274" s="38"/>
    </row>
    <row r="275" spans="45:50">
      <c r="AS275" s="40" t="s">
        <v>404</v>
      </c>
      <c r="AT275" s="41" t="s">
        <v>416</v>
      </c>
      <c r="AU275" s="38"/>
      <c r="AV275" s="38"/>
      <c r="AW275" s="38"/>
      <c r="AX275" s="38"/>
    </row>
    <row r="276" spans="45:50">
      <c r="AS276" s="40" t="s">
        <v>404</v>
      </c>
      <c r="AT276" s="41" t="s">
        <v>417</v>
      </c>
      <c r="AU276" s="38"/>
      <c r="AV276" s="38"/>
      <c r="AW276" s="38"/>
      <c r="AX276" s="38"/>
    </row>
    <row r="277" spans="45:50">
      <c r="AS277" s="40" t="s">
        <v>404</v>
      </c>
      <c r="AT277" s="41" t="s">
        <v>418</v>
      </c>
      <c r="AU277" s="38"/>
      <c r="AV277" s="38"/>
      <c r="AW277" s="38"/>
      <c r="AX277" s="38"/>
    </row>
    <row r="278" spans="45:50">
      <c r="AS278" s="40" t="s">
        <v>404</v>
      </c>
      <c r="AT278" s="41" t="s">
        <v>419</v>
      </c>
      <c r="AU278" s="38"/>
      <c r="AV278" s="38"/>
      <c r="AW278" s="38"/>
      <c r="AX278" s="38"/>
    </row>
    <row r="279" spans="45:50">
      <c r="AS279" s="40" t="s">
        <v>404</v>
      </c>
      <c r="AT279" s="41" t="s">
        <v>420</v>
      </c>
      <c r="AU279" s="38"/>
      <c r="AV279" s="38"/>
      <c r="AW279" s="38"/>
      <c r="AX279" s="38"/>
    </row>
    <row r="280" spans="45:50">
      <c r="AS280" s="40" t="s">
        <v>404</v>
      </c>
      <c r="AT280" s="41" t="s">
        <v>421</v>
      </c>
      <c r="AU280" s="38"/>
      <c r="AV280" s="38"/>
      <c r="AW280" s="38"/>
      <c r="AX280" s="38"/>
    </row>
    <row r="281" spans="45:50">
      <c r="AS281" s="40" t="s">
        <v>404</v>
      </c>
      <c r="AT281" s="41" t="s">
        <v>422</v>
      </c>
      <c r="AU281" s="38"/>
      <c r="AV281" s="38"/>
      <c r="AW281" s="38"/>
      <c r="AX281" s="38"/>
    </row>
    <row r="282" spans="45:50">
      <c r="AS282" s="40" t="s">
        <v>404</v>
      </c>
      <c r="AT282" s="41" t="s">
        <v>423</v>
      </c>
      <c r="AU282" s="38"/>
      <c r="AV282" s="38"/>
      <c r="AW282" s="38"/>
      <c r="AX282" s="38"/>
    </row>
    <row r="283" spans="45:50">
      <c r="AS283" s="40" t="s">
        <v>404</v>
      </c>
      <c r="AT283" s="41" t="s">
        <v>424</v>
      </c>
      <c r="AU283" s="38"/>
      <c r="AV283" s="38"/>
      <c r="AW283" s="38"/>
      <c r="AX283" s="38"/>
    </row>
    <row r="284" spans="45:50">
      <c r="AS284" s="40" t="s">
        <v>404</v>
      </c>
      <c r="AT284" s="41" t="s">
        <v>425</v>
      </c>
      <c r="AU284" s="38"/>
      <c r="AV284" s="38"/>
      <c r="AW284" s="38"/>
      <c r="AX284" s="38"/>
    </row>
    <row r="285" spans="45:50">
      <c r="AS285" s="40" t="s">
        <v>404</v>
      </c>
      <c r="AT285" s="41" t="s">
        <v>426</v>
      </c>
      <c r="AU285" s="38"/>
      <c r="AV285" s="38"/>
      <c r="AW285" s="38"/>
      <c r="AX285" s="38"/>
    </row>
    <row r="286" spans="45:50">
      <c r="AS286" s="40" t="s">
        <v>404</v>
      </c>
      <c r="AT286" s="41" t="s">
        <v>427</v>
      </c>
      <c r="AU286" s="38"/>
      <c r="AV286" s="38"/>
      <c r="AW286" s="38"/>
      <c r="AX286" s="38"/>
    </row>
    <row r="287" spans="45:50">
      <c r="AS287" s="40" t="s">
        <v>404</v>
      </c>
      <c r="AT287" s="41" t="s">
        <v>428</v>
      </c>
      <c r="AU287" s="38"/>
      <c r="AV287" s="38"/>
      <c r="AW287" s="38"/>
      <c r="AX287" s="38"/>
    </row>
    <row r="288" spans="45:50">
      <c r="AS288" s="40" t="s">
        <v>429</v>
      </c>
      <c r="AT288" s="41" t="s">
        <v>430</v>
      </c>
      <c r="AU288" s="38"/>
      <c r="AV288" s="38"/>
      <c r="AW288" s="38"/>
      <c r="AX288" s="38"/>
    </row>
    <row r="289" spans="45:50">
      <c r="AS289" s="40" t="s">
        <v>429</v>
      </c>
      <c r="AT289" s="41" t="s">
        <v>431</v>
      </c>
      <c r="AU289" s="38"/>
      <c r="AV289" s="38"/>
      <c r="AW289" s="38"/>
      <c r="AX289" s="38"/>
    </row>
    <row r="290" spans="45:50">
      <c r="AS290" s="40" t="s">
        <v>429</v>
      </c>
      <c r="AT290" s="41" t="s">
        <v>432</v>
      </c>
      <c r="AU290" s="38"/>
      <c r="AV290" s="38"/>
      <c r="AW290" s="38"/>
      <c r="AX290" s="38"/>
    </row>
    <row r="291" spans="45:50">
      <c r="AS291" s="40" t="s">
        <v>429</v>
      </c>
      <c r="AT291" s="41" t="s">
        <v>433</v>
      </c>
      <c r="AU291" s="38"/>
      <c r="AV291" s="38"/>
      <c r="AW291" s="38"/>
      <c r="AX291" s="38"/>
    </row>
    <row r="292" spans="45:50">
      <c r="AS292" s="40" t="s">
        <v>429</v>
      </c>
      <c r="AT292" s="41" t="s">
        <v>434</v>
      </c>
      <c r="AU292" s="38"/>
      <c r="AV292" s="38"/>
      <c r="AW292" s="38"/>
      <c r="AX292" s="38"/>
    </row>
    <row r="293" spans="45:50">
      <c r="AS293" s="40" t="s">
        <v>429</v>
      </c>
      <c r="AT293" s="41" t="s">
        <v>435</v>
      </c>
      <c r="AU293" s="38"/>
      <c r="AV293" s="38"/>
      <c r="AW293" s="38"/>
      <c r="AX293" s="38"/>
    </row>
    <row r="294" spans="45:50">
      <c r="AS294" s="40" t="s">
        <v>429</v>
      </c>
      <c r="AT294" s="41" t="s">
        <v>269</v>
      </c>
      <c r="AU294" s="38"/>
      <c r="AV294" s="38"/>
      <c r="AW294" s="38"/>
      <c r="AX294" s="38"/>
    </row>
    <row r="295" spans="45:50">
      <c r="AS295" s="40" t="s">
        <v>429</v>
      </c>
      <c r="AT295" s="41" t="s">
        <v>436</v>
      </c>
      <c r="AU295" s="38"/>
      <c r="AV295" s="38"/>
      <c r="AW295" s="38"/>
      <c r="AX295" s="38"/>
    </row>
    <row r="296" spans="45:50">
      <c r="AS296" s="40" t="s">
        <v>429</v>
      </c>
      <c r="AT296" s="41" t="s">
        <v>437</v>
      </c>
      <c r="AU296" s="38"/>
      <c r="AV296" s="38"/>
      <c r="AW296" s="38"/>
      <c r="AX296" s="38"/>
    </row>
    <row r="297" spans="45:50">
      <c r="AS297" s="40" t="s">
        <v>429</v>
      </c>
      <c r="AT297" s="41" t="s">
        <v>438</v>
      </c>
      <c r="AU297" s="38"/>
      <c r="AV297" s="38"/>
      <c r="AW297" s="38"/>
      <c r="AX297" s="38"/>
    </row>
    <row r="298" spans="45:50">
      <c r="AS298" s="40" t="s">
        <v>429</v>
      </c>
      <c r="AT298" s="41" t="s">
        <v>439</v>
      </c>
      <c r="AU298" s="38"/>
      <c r="AV298" s="38"/>
      <c r="AW298" s="38"/>
      <c r="AX298" s="38"/>
    </row>
    <row r="299" spans="45:50">
      <c r="AS299" s="40" t="s">
        <v>429</v>
      </c>
      <c r="AT299" s="41" t="s">
        <v>440</v>
      </c>
      <c r="AU299" s="38"/>
      <c r="AV299" s="38"/>
      <c r="AW299" s="38"/>
      <c r="AX299" s="38"/>
    </row>
    <row r="300" spans="45:50">
      <c r="AS300" s="40" t="s">
        <v>429</v>
      </c>
      <c r="AT300" s="41" t="s">
        <v>441</v>
      </c>
      <c r="AU300" s="38"/>
      <c r="AV300" s="38"/>
      <c r="AW300" s="38"/>
      <c r="AX300" s="38"/>
    </row>
    <row r="301" spans="45:50">
      <c r="AS301" s="40" t="s">
        <v>429</v>
      </c>
      <c r="AT301" s="41" t="s">
        <v>442</v>
      </c>
      <c r="AU301" s="38"/>
      <c r="AV301" s="38"/>
      <c r="AW301" s="38"/>
      <c r="AX301" s="38"/>
    </row>
    <row r="302" spans="45:50">
      <c r="AS302" s="40" t="s">
        <v>429</v>
      </c>
      <c r="AT302" s="41" t="s">
        <v>443</v>
      </c>
      <c r="AU302" s="38"/>
      <c r="AV302" s="38"/>
      <c r="AW302" s="38"/>
      <c r="AX302" s="38"/>
    </row>
    <row r="303" spans="45:50">
      <c r="AS303" s="40" t="s">
        <v>429</v>
      </c>
      <c r="AT303" s="41" t="s">
        <v>444</v>
      </c>
      <c r="AU303" s="38"/>
      <c r="AV303" s="38"/>
      <c r="AW303" s="38"/>
      <c r="AX303" s="38"/>
    </row>
    <row r="304" spans="45:50">
      <c r="AS304" s="40" t="s">
        <v>429</v>
      </c>
      <c r="AT304" s="41" t="s">
        <v>445</v>
      </c>
      <c r="AU304" s="38"/>
      <c r="AV304" s="38"/>
      <c r="AW304" s="38"/>
      <c r="AX304" s="38"/>
    </row>
    <row r="305" spans="45:50">
      <c r="AS305" s="40" t="s">
        <v>429</v>
      </c>
      <c r="AT305" s="41" t="s">
        <v>446</v>
      </c>
      <c r="AU305" s="38"/>
      <c r="AV305" s="38"/>
      <c r="AW305" s="38"/>
      <c r="AX305" s="38"/>
    </row>
    <row r="306" spans="45:50">
      <c r="AS306" s="40" t="s">
        <v>429</v>
      </c>
      <c r="AT306" s="41" t="s">
        <v>447</v>
      </c>
      <c r="AU306" s="38"/>
      <c r="AV306" s="38"/>
      <c r="AW306" s="38"/>
      <c r="AX306" s="38"/>
    </row>
    <row r="307" spans="45:50">
      <c r="AS307" s="40" t="s">
        <v>429</v>
      </c>
      <c r="AT307" s="41" t="s">
        <v>448</v>
      </c>
      <c r="AU307" s="38"/>
      <c r="AV307" s="38"/>
      <c r="AW307" s="38"/>
      <c r="AX307" s="38"/>
    </row>
    <row r="308" spans="45:50">
      <c r="AS308" s="40" t="s">
        <v>429</v>
      </c>
      <c r="AT308" s="41" t="s">
        <v>449</v>
      </c>
      <c r="AU308" s="38"/>
      <c r="AV308" s="38"/>
      <c r="AW308" s="38"/>
      <c r="AX308" s="38"/>
    </row>
    <row r="309" spans="45:50">
      <c r="AS309" s="40" t="s">
        <v>429</v>
      </c>
      <c r="AT309" s="41" t="s">
        <v>450</v>
      </c>
      <c r="AU309" s="38"/>
      <c r="AV309" s="38"/>
      <c r="AW309" s="38"/>
      <c r="AX309" s="38"/>
    </row>
    <row r="310" spans="45:50">
      <c r="AS310" s="40" t="s">
        <v>429</v>
      </c>
      <c r="AT310" s="41" t="s">
        <v>451</v>
      </c>
      <c r="AU310" s="38"/>
      <c r="AV310" s="38"/>
      <c r="AW310" s="38"/>
      <c r="AX310" s="38"/>
    </row>
    <row r="311" spans="45:50">
      <c r="AS311" s="40" t="s">
        <v>429</v>
      </c>
      <c r="AT311" s="41" t="s">
        <v>452</v>
      </c>
      <c r="AU311" s="38"/>
      <c r="AV311" s="38"/>
      <c r="AW311" s="38"/>
      <c r="AX311" s="38"/>
    </row>
    <row r="312" spans="45:50">
      <c r="AS312" s="40" t="s">
        <v>429</v>
      </c>
      <c r="AT312" s="41" t="s">
        <v>453</v>
      </c>
      <c r="AU312" s="38"/>
      <c r="AV312" s="38"/>
      <c r="AW312" s="38"/>
      <c r="AX312" s="38"/>
    </row>
    <row r="313" spans="45:50">
      <c r="AS313" s="40" t="s">
        <v>429</v>
      </c>
      <c r="AT313" s="41" t="s">
        <v>454</v>
      </c>
      <c r="AU313" s="38"/>
      <c r="AV313" s="38"/>
      <c r="AW313" s="38"/>
      <c r="AX313" s="38"/>
    </row>
    <row r="314" spans="45:50">
      <c r="AS314" s="40" t="s">
        <v>429</v>
      </c>
      <c r="AT314" s="41" t="s">
        <v>455</v>
      </c>
      <c r="AU314" s="38"/>
      <c r="AV314" s="38"/>
      <c r="AW314" s="38"/>
      <c r="AX314" s="38"/>
    </row>
    <row r="315" spans="45:50">
      <c r="AS315" s="40" t="s">
        <v>429</v>
      </c>
      <c r="AT315" s="41" t="s">
        <v>456</v>
      </c>
      <c r="AU315" s="38"/>
      <c r="AV315" s="38"/>
      <c r="AW315" s="38"/>
      <c r="AX315" s="38"/>
    </row>
    <row r="316" spans="45:50">
      <c r="AS316" s="40" t="s">
        <v>429</v>
      </c>
      <c r="AT316" s="41" t="s">
        <v>457</v>
      </c>
      <c r="AU316" s="38"/>
      <c r="AV316" s="38"/>
      <c r="AW316" s="38"/>
      <c r="AX316" s="38"/>
    </row>
    <row r="317" spans="45:50">
      <c r="AS317" s="40" t="s">
        <v>429</v>
      </c>
      <c r="AT317" s="41" t="s">
        <v>458</v>
      </c>
      <c r="AU317" s="38"/>
      <c r="AV317" s="38"/>
      <c r="AW317" s="38"/>
      <c r="AX317" s="38"/>
    </row>
    <row r="318" spans="45:50">
      <c r="AS318" s="40" t="s">
        <v>459</v>
      </c>
      <c r="AT318" s="41" t="s">
        <v>460</v>
      </c>
      <c r="AU318" s="38"/>
      <c r="AV318" s="38"/>
      <c r="AW318" s="38"/>
      <c r="AX318" s="38"/>
    </row>
    <row r="319" spans="45:50">
      <c r="AS319" s="40" t="s">
        <v>459</v>
      </c>
      <c r="AT319" s="41" t="s">
        <v>461</v>
      </c>
      <c r="AU319" s="38"/>
      <c r="AV319" s="38"/>
      <c r="AW319" s="38"/>
      <c r="AX319" s="38"/>
    </row>
    <row r="320" spans="45:50">
      <c r="AS320" s="40" t="s">
        <v>459</v>
      </c>
      <c r="AT320" s="41" t="s">
        <v>462</v>
      </c>
      <c r="AU320" s="38"/>
      <c r="AV320" s="38"/>
      <c r="AW320" s="38"/>
      <c r="AX320" s="38"/>
    </row>
    <row r="321" spans="45:50">
      <c r="AS321" s="40" t="s">
        <v>459</v>
      </c>
      <c r="AT321" s="41" t="s">
        <v>463</v>
      </c>
      <c r="AU321" s="38"/>
      <c r="AV321" s="38"/>
      <c r="AW321" s="38"/>
      <c r="AX321" s="38"/>
    </row>
    <row r="322" spans="45:50">
      <c r="AS322" s="40" t="s">
        <v>459</v>
      </c>
      <c r="AT322" s="41" t="s">
        <v>464</v>
      </c>
      <c r="AU322" s="38"/>
      <c r="AV322" s="38"/>
      <c r="AW322" s="38"/>
      <c r="AX322" s="38"/>
    </row>
    <row r="323" spans="45:50">
      <c r="AS323" s="40" t="s">
        <v>459</v>
      </c>
      <c r="AT323" s="41" t="s">
        <v>465</v>
      </c>
      <c r="AU323" s="38"/>
      <c r="AV323" s="38"/>
      <c r="AW323" s="38"/>
      <c r="AX323" s="38"/>
    </row>
    <row r="324" spans="45:50">
      <c r="AS324" s="40" t="s">
        <v>459</v>
      </c>
      <c r="AT324" s="41" t="s">
        <v>466</v>
      </c>
      <c r="AU324" s="38"/>
      <c r="AV324" s="38"/>
      <c r="AW324" s="38"/>
      <c r="AX324" s="38"/>
    </row>
    <row r="325" spans="45:50">
      <c r="AS325" s="40" t="s">
        <v>459</v>
      </c>
      <c r="AT325" s="41" t="s">
        <v>467</v>
      </c>
      <c r="AU325" s="38"/>
      <c r="AV325" s="38"/>
      <c r="AW325" s="38"/>
      <c r="AX325" s="38"/>
    </row>
    <row r="326" spans="45:50">
      <c r="AS326" s="40" t="s">
        <v>459</v>
      </c>
      <c r="AT326" s="41" t="s">
        <v>468</v>
      </c>
      <c r="AU326" s="38"/>
      <c r="AV326" s="38"/>
      <c r="AW326" s="38"/>
      <c r="AX326" s="38"/>
    </row>
    <row r="327" spans="45:50">
      <c r="AS327" s="40" t="s">
        <v>459</v>
      </c>
      <c r="AT327" s="41" t="s">
        <v>469</v>
      </c>
      <c r="AU327" s="38"/>
      <c r="AV327" s="38"/>
      <c r="AW327" s="38"/>
      <c r="AX327" s="38"/>
    </row>
    <row r="328" spans="45:50">
      <c r="AS328" s="40" t="s">
        <v>459</v>
      </c>
      <c r="AT328" s="41" t="s">
        <v>470</v>
      </c>
      <c r="AU328" s="38"/>
      <c r="AV328" s="38"/>
      <c r="AW328" s="38"/>
      <c r="AX328" s="38"/>
    </row>
    <row r="329" spans="45:50">
      <c r="AS329" s="40" t="s">
        <v>459</v>
      </c>
      <c r="AT329" s="41" t="s">
        <v>471</v>
      </c>
      <c r="AU329" s="38"/>
      <c r="AV329" s="38"/>
      <c r="AW329" s="38"/>
      <c r="AX329" s="38"/>
    </row>
    <row r="330" spans="45:50">
      <c r="AS330" s="40" t="s">
        <v>459</v>
      </c>
      <c r="AT330" s="41" t="s">
        <v>472</v>
      </c>
      <c r="AU330" s="38"/>
      <c r="AV330" s="38"/>
      <c r="AW330" s="38"/>
      <c r="AX330" s="38"/>
    </row>
    <row r="331" spans="45:50">
      <c r="AS331" s="40" t="s">
        <v>459</v>
      </c>
      <c r="AT331" s="41" t="s">
        <v>473</v>
      </c>
      <c r="AU331" s="38"/>
      <c r="AV331" s="38"/>
      <c r="AW331" s="38"/>
      <c r="AX331" s="38"/>
    </row>
    <row r="332" spans="45:50">
      <c r="AS332" s="40" t="s">
        <v>474</v>
      </c>
      <c r="AT332" s="41" t="s">
        <v>474</v>
      </c>
      <c r="AU332" s="38"/>
      <c r="AV332" s="38"/>
      <c r="AW332" s="38"/>
      <c r="AX332" s="38"/>
    </row>
    <row r="333" spans="45:50">
      <c r="AS333" s="40" t="s">
        <v>475</v>
      </c>
      <c r="AT333" s="41" t="s">
        <v>476</v>
      </c>
      <c r="AU333" s="38"/>
      <c r="AV333" s="38"/>
      <c r="AW333" s="38"/>
      <c r="AX333" s="38"/>
    </row>
    <row r="334" spans="45:50">
      <c r="AS334" s="40" t="s">
        <v>475</v>
      </c>
      <c r="AT334" s="41" t="s">
        <v>477</v>
      </c>
      <c r="AU334" s="38"/>
      <c r="AV334" s="38"/>
      <c r="AW334" s="38"/>
      <c r="AX334" s="38"/>
    </row>
    <row r="335" spans="45:50">
      <c r="AS335" s="40" t="s">
        <v>475</v>
      </c>
      <c r="AT335" s="41" t="s">
        <v>478</v>
      </c>
      <c r="AU335" s="38"/>
      <c r="AV335" s="38"/>
      <c r="AW335" s="38"/>
      <c r="AX335" s="38"/>
    </row>
    <row r="336" spans="45:50">
      <c r="AS336" s="40" t="s">
        <v>475</v>
      </c>
      <c r="AT336" s="41" t="s">
        <v>479</v>
      </c>
      <c r="AU336" s="38"/>
      <c r="AV336" s="38"/>
      <c r="AW336" s="38"/>
      <c r="AX336" s="38"/>
    </row>
    <row r="337" spans="45:50">
      <c r="AS337" s="40" t="s">
        <v>475</v>
      </c>
      <c r="AT337" s="41" t="s">
        <v>480</v>
      </c>
      <c r="AU337" s="38"/>
      <c r="AV337" s="38"/>
      <c r="AW337" s="38"/>
      <c r="AX337" s="38"/>
    </row>
    <row r="338" spans="45:50">
      <c r="AS338" s="40" t="s">
        <v>475</v>
      </c>
      <c r="AT338" s="41" t="s">
        <v>481</v>
      </c>
      <c r="AU338" s="38"/>
      <c r="AV338" s="38"/>
      <c r="AW338" s="38"/>
      <c r="AX338" s="38"/>
    </row>
    <row r="339" spans="45:50">
      <c r="AS339" s="40" t="s">
        <v>475</v>
      </c>
      <c r="AT339" s="41" t="s">
        <v>482</v>
      </c>
      <c r="AU339" s="38"/>
      <c r="AV339" s="38"/>
      <c r="AW339" s="38"/>
      <c r="AX339" s="38"/>
    </row>
    <row r="340" spans="45:50">
      <c r="AS340" s="40" t="s">
        <v>475</v>
      </c>
      <c r="AT340" s="41" t="s">
        <v>483</v>
      </c>
      <c r="AU340" s="38"/>
      <c r="AV340" s="38"/>
      <c r="AW340" s="38"/>
      <c r="AX340" s="38"/>
    </row>
    <row r="341" spans="45:50">
      <c r="AS341" s="40" t="s">
        <v>475</v>
      </c>
      <c r="AT341" s="41" t="s">
        <v>484</v>
      </c>
      <c r="AU341" s="38"/>
      <c r="AV341" s="38"/>
      <c r="AW341" s="38"/>
      <c r="AX341" s="38"/>
    </row>
    <row r="342" spans="45:50">
      <c r="AS342" s="40" t="s">
        <v>475</v>
      </c>
      <c r="AT342" s="41" t="s">
        <v>485</v>
      </c>
      <c r="AU342" s="38"/>
      <c r="AV342" s="38"/>
      <c r="AW342" s="38"/>
      <c r="AX342" s="38"/>
    </row>
    <row r="343" spans="45:50">
      <c r="AS343" s="40" t="s">
        <v>475</v>
      </c>
      <c r="AT343" s="41" t="s">
        <v>486</v>
      </c>
      <c r="AU343" s="38"/>
      <c r="AV343" s="38"/>
      <c r="AW343" s="38"/>
      <c r="AX343" s="38"/>
    </row>
    <row r="344" spans="45:50">
      <c r="AS344" s="40" t="s">
        <v>475</v>
      </c>
      <c r="AT344" s="41" t="s">
        <v>487</v>
      </c>
      <c r="AU344" s="38"/>
      <c r="AV344" s="38"/>
      <c r="AW344" s="38"/>
      <c r="AX344" s="38"/>
    </row>
    <row r="345" spans="45:50">
      <c r="AS345" s="40" t="s">
        <v>475</v>
      </c>
      <c r="AT345" s="41" t="s">
        <v>488</v>
      </c>
      <c r="AU345" s="38"/>
      <c r="AV345" s="38"/>
      <c r="AW345" s="38"/>
      <c r="AX345" s="38"/>
    </row>
    <row r="346" spans="45:50">
      <c r="AS346" s="40" t="s">
        <v>475</v>
      </c>
      <c r="AT346" s="41" t="s">
        <v>489</v>
      </c>
      <c r="AU346" s="38"/>
      <c r="AV346" s="38"/>
      <c r="AW346" s="38"/>
      <c r="AX346" s="38"/>
    </row>
    <row r="347" spans="45:50">
      <c r="AS347" s="40" t="s">
        <v>475</v>
      </c>
      <c r="AT347" s="41" t="s">
        <v>490</v>
      </c>
      <c r="AU347" s="38"/>
      <c r="AV347" s="38"/>
      <c r="AW347" s="38"/>
      <c r="AX347" s="38"/>
    </row>
    <row r="348" spans="45:50">
      <c r="AS348" s="40" t="s">
        <v>475</v>
      </c>
      <c r="AT348" s="41" t="s">
        <v>491</v>
      </c>
      <c r="AU348" s="38"/>
      <c r="AV348" s="38"/>
      <c r="AW348" s="38"/>
      <c r="AX348" s="38"/>
    </row>
    <row r="349" spans="45:50">
      <c r="AS349" s="40" t="s">
        <v>475</v>
      </c>
      <c r="AT349" s="41" t="s">
        <v>492</v>
      </c>
      <c r="AU349" s="38"/>
      <c r="AV349" s="38"/>
      <c r="AW349" s="38"/>
      <c r="AX349" s="38"/>
    </row>
    <row r="350" spans="45:50">
      <c r="AS350" s="40" t="s">
        <v>475</v>
      </c>
      <c r="AT350" s="41" t="s">
        <v>493</v>
      </c>
      <c r="AU350" s="38"/>
      <c r="AV350" s="38"/>
      <c r="AW350" s="38"/>
      <c r="AX350" s="38"/>
    </row>
    <row r="351" spans="45:50">
      <c r="AS351" s="40" t="s">
        <v>475</v>
      </c>
      <c r="AT351" s="41" t="s">
        <v>494</v>
      </c>
      <c r="AU351" s="38"/>
      <c r="AV351" s="38"/>
      <c r="AW351" s="38"/>
      <c r="AX351" s="38"/>
    </row>
    <row r="352" spans="45:50">
      <c r="AS352" s="40" t="s">
        <v>475</v>
      </c>
      <c r="AT352" s="41" t="s">
        <v>495</v>
      </c>
      <c r="AU352" s="38"/>
      <c r="AV352" s="38"/>
      <c r="AW352" s="38"/>
      <c r="AX352" s="38"/>
    </row>
    <row r="353" spans="45:50">
      <c r="AS353" s="40" t="s">
        <v>475</v>
      </c>
      <c r="AT353" s="41" t="s">
        <v>496</v>
      </c>
      <c r="AU353" s="38"/>
      <c r="AV353" s="38"/>
      <c r="AW353" s="38"/>
      <c r="AX353" s="38"/>
    </row>
    <row r="354" spans="45:50">
      <c r="AS354" s="40" t="s">
        <v>475</v>
      </c>
      <c r="AT354" s="41" t="s">
        <v>497</v>
      </c>
      <c r="AU354" s="38"/>
      <c r="AV354" s="38"/>
      <c r="AW354" s="38"/>
      <c r="AX354" s="38"/>
    </row>
    <row r="355" spans="45:50">
      <c r="AS355" s="40" t="s">
        <v>475</v>
      </c>
      <c r="AT355" s="41" t="s">
        <v>498</v>
      </c>
      <c r="AU355" s="38"/>
      <c r="AV355" s="38"/>
      <c r="AW355" s="38"/>
      <c r="AX355" s="38"/>
    </row>
    <row r="356" spans="45:50">
      <c r="AS356" s="40" t="s">
        <v>475</v>
      </c>
      <c r="AT356" s="41" t="s">
        <v>499</v>
      </c>
      <c r="AU356" s="38"/>
      <c r="AV356" s="38"/>
      <c r="AW356" s="38"/>
      <c r="AX356" s="38"/>
    </row>
    <row r="357" spans="45:50">
      <c r="AS357" s="40" t="s">
        <v>475</v>
      </c>
      <c r="AT357" s="41" t="s">
        <v>500</v>
      </c>
      <c r="AU357" s="38"/>
      <c r="AV357" s="38"/>
      <c r="AW357" s="38"/>
      <c r="AX357" s="38"/>
    </row>
    <row r="358" spans="45:50">
      <c r="AS358" s="40" t="s">
        <v>475</v>
      </c>
      <c r="AT358" s="41" t="s">
        <v>501</v>
      </c>
      <c r="AU358" s="38"/>
      <c r="AV358" s="38"/>
      <c r="AW358" s="38"/>
      <c r="AX358" s="38"/>
    </row>
    <row r="359" spans="45:50">
      <c r="AS359" s="40" t="s">
        <v>475</v>
      </c>
      <c r="AT359" s="41" t="s">
        <v>502</v>
      </c>
      <c r="AU359" s="38"/>
      <c r="AV359" s="38"/>
      <c r="AW359" s="38"/>
      <c r="AX359" s="38"/>
    </row>
    <row r="360" spans="45:50">
      <c r="AS360" s="40" t="s">
        <v>475</v>
      </c>
      <c r="AT360" s="41" t="s">
        <v>503</v>
      </c>
      <c r="AU360" s="38"/>
      <c r="AV360" s="38"/>
      <c r="AW360" s="38"/>
      <c r="AX360" s="38"/>
    </row>
    <row r="361" spans="45:50">
      <c r="AS361" s="40" t="s">
        <v>475</v>
      </c>
      <c r="AT361" s="41" t="s">
        <v>504</v>
      </c>
      <c r="AU361" s="38"/>
      <c r="AV361" s="38"/>
      <c r="AW361" s="38"/>
      <c r="AX361" s="38"/>
    </row>
    <row r="362" spans="45:50">
      <c r="AS362" s="40" t="s">
        <v>475</v>
      </c>
      <c r="AT362" s="41" t="s">
        <v>505</v>
      </c>
      <c r="AU362" s="38"/>
      <c r="AV362" s="38"/>
      <c r="AW362" s="38"/>
      <c r="AX362" s="38"/>
    </row>
    <row r="363" spans="45:50">
      <c r="AS363" s="40" t="s">
        <v>475</v>
      </c>
      <c r="AT363" s="41" t="s">
        <v>506</v>
      </c>
      <c r="AU363" s="38"/>
      <c r="AV363" s="38"/>
      <c r="AW363" s="38"/>
      <c r="AX363" s="38"/>
    </row>
    <row r="364" spans="45:50">
      <c r="AS364" s="40" t="s">
        <v>475</v>
      </c>
      <c r="AT364" s="41" t="s">
        <v>507</v>
      </c>
      <c r="AU364" s="38"/>
      <c r="AV364" s="38"/>
      <c r="AW364" s="38"/>
      <c r="AX364" s="38"/>
    </row>
    <row r="365" spans="45:50">
      <c r="AS365" s="40" t="s">
        <v>475</v>
      </c>
      <c r="AT365" s="41" t="s">
        <v>508</v>
      </c>
      <c r="AU365" s="38"/>
      <c r="AV365" s="38"/>
      <c r="AW365" s="38"/>
      <c r="AX365" s="38"/>
    </row>
    <row r="366" spans="45:50">
      <c r="AS366" s="40" t="s">
        <v>475</v>
      </c>
      <c r="AT366" s="41" t="s">
        <v>509</v>
      </c>
      <c r="AU366" s="38"/>
      <c r="AV366" s="38"/>
      <c r="AW366" s="38"/>
      <c r="AX366" s="38"/>
    </row>
    <row r="367" spans="45:50">
      <c r="AS367" s="40" t="s">
        <v>475</v>
      </c>
      <c r="AT367" s="41" t="s">
        <v>510</v>
      </c>
      <c r="AU367" s="38"/>
      <c r="AV367" s="38"/>
      <c r="AW367" s="38"/>
      <c r="AX367" s="38"/>
    </row>
    <row r="368" spans="45:50">
      <c r="AS368" s="40" t="s">
        <v>475</v>
      </c>
      <c r="AT368" s="41" t="s">
        <v>511</v>
      </c>
      <c r="AU368" s="38"/>
      <c r="AV368" s="38"/>
      <c r="AW368" s="38"/>
      <c r="AX368" s="38"/>
    </row>
    <row r="369" spans="45:50">
      <c r="AS369" s="40" t="s">
        <v>475</v>
      </c>
      <c r="AT369" s="41" t="s">
        <v>512</v>
      </c>
      <c r="AU369" s="38"/>
      <c r="AV369" s="38"/>
      <c r="AW369" s="38"/>
      <c r="AX369" s="38"/>
    </row>
    <row r="370" spans="45:50">
      <c r="AS370" s="40" t="s">
        <v>475</v>
      </c>
      <c r="AT370" s="41" t="s">
        <v>513</v>
      </c>
      <c r="AU370" s="38"/>
      <c r="AV370" s="38"/>
      <c r="AW370" s="38"/>
      <c r="AX370" s="38"/>
    </row>
    <row r="371" spans="45:50">
      <c r="AS371" s="40" t="s">
        <v>475</v>
      </c>
      <c r="AT371" s="41" t="s">
        <v>514</v>
      </c>
      <c r="AU371" s="38"/>
      <c r="AV371" s="38"/>
      <c r="AW371" s="38"/>
      <c r="AX371" s="38"/>
    </row>
    <row r="372" spans="45:50">
      <c r="AS372" s="40" t="s">
        <v>475</v>
      </c>
      <c r="AT372" s="41" t="s">
        <v>515</v>
      </c>
      <c r="AU372" s="38"/>
      <c r="AV372" s="38"/>
      <c r="AW372" s="38"/>
      <c r="AX372" s="38"/>
    </row>
    <row r="373" spans="45:50">
      <c r="AS373" s="40" t="s">
        <v>475</v>
      </c>
      <c r="AT373" s="41" t="s">
        <v>516</v>
      </c>
      <c r="AU373" s="38"/>
      <c r="AV373" s="38"/>
      <c r="AW373" s="38"/>
      <c r="AX373" s="38"/>
    </row>
    <row r="374" spans="45:50">
      <c r="AS374" s="40" t="s">
        <v>475</v>
      </c>
      <c r="AT374" s="41" t="s">
        <v>517</v>
      </c>
      <c r="AU374" s="38"/>
      <c r="AV374" s="38"/>
      <c r="AW374" s="38"/>
      <c r="AX374" s="38"/>
    </row>
    <row r="375" spans="45:50">
      <c r="AS375" s="40" t="s">
        <v>475</v>
      </c>
      <c r="AT375" s="41" t="s">
        <v>518</v>
      </c>
      <c r="AU375" s="38"/>
      <c r="AV375" s="38"/>
      <c r="AW375" s="38"/>
      <c r="AX375" s="38"/>
    </row>
    <row r="376" spans="45:50">
      <c r="AS376" s="40" t="s">
        <v>475</v>
      </c>
      <c r="AT376" s="41" t="s">
        <v>519</v>
      </c>
      <c r="AU376" s="38"/>
      <c r="AV376" s="38"/>
      <c r="AW376" s="38"/>
      <c r="AX376" s="38"/>
    </row>
    <row r="377" spans="45:50">
      <c r="AS377" s="40" t="s">
        <v>475</v>
      </c>
      <c r="AT377" s="41" t="s">
        <v>520</v>
      </c>
      <c r="AU377" s="38"/>
      <c r="AV377" s="38"/>
      <c r="AW377" s="38"/>
      <c r="AX377" s="38"/>
    </row>
    <row r="378" spans="45:50">
      <c r="AS378" s="40" t="s">
        <v>475</v>
      </c>
      <c r="AT378" s="41" t="s">
        <v>521</v>
      </c>
      <c r="AU378" s="38"/>
      <c r="AV378" s="38"/>
      <c r="AW378" s="38"/>
      <c r="AX378" s="38"/>
    </row>
    <row r="379" spans="45:50">
      <c r="AS379" s="40" t="s">
        <v>475</v>
      </c>
      <c r="AT379" s="41" t="s">
        <v>522</v>
      </c>
      <c r="AU379" s="38"/>
      <c r="AV379" s="38"/>
      <c r="AW379" s="38"/>
      <c r="AX379" s="38"/>
    </row>
    <row r="380" spans="45:50">
      <c r="AS380" s="40" t="s">
        <v>475</v>
      </c>
      <c r="AT380" s="41" t="s">
        <v>523</v>
      </c>
      <c r="AU380" s="38"/>
      <c r="AV380" s="38"/>
      <c r="AW380" s="38"/>
      <c r="AX380" s="38"/>
    </row>
    <row r="381" spans="45:50">
      <c r="AS381" s="40" t="s">
        <v>475</v>
      </c>
      <c r="AT381" s="41" t="s">
        <v>524</v>
      </c>
      <c r="AU381" s="38"/>
      <c r="AV381" s="38"/>
      <c r="AW381" s="38"/>
      <c r="AX381" s="38"/>
    </row>
    <row r="382" spans="45:50">
      <c r="AS382" s="40" t="s">
        <v>475</v>
      </c>
      <c r="AT382" s="56" t="s">
        <v>525</v>
      </c>
      <c r="AU382" s="38"/>
      <c r="AV382" s="38"/>
      <c r="AW382" s="38"/>
      <c r="AX382" s="38"/>
    </row>
    <row r="383" spans="45:50">
      <c r="AS383" s="40" t="s">
        <v>475</v>
      </c>
      <c r="AT383" s="41" t="s">
        <v>526</v>
      </c>
      <c r="AU383" s="38"/>
      <c r="AV383" s="38"/>
      <c r="AW383" s="38"/>
      <c r="AX383" s="38"/>
    </row>
    <row r="384" spans="45:50">
      <c r="AS384" s="40" t="s">
        <v>527</v>
      </c>
      <c r="AT384" s="41" t="s">
        <v>528</v>
      </c>
      <c r="AU384" s="38"/>
      <c r="AV384" s="38"/>
      <c r="AW384" s="38"/>
      <c r="AX384" s="38"/>
    </row>
    <row r="385" spans="45:50">
      <c r="AS385" s="40" t="s">
        <v>527</v>
      </c>
      <c r="AT385" s="41" t="s">
        <v>529</v>
      </c>
      <c r="AU385" s="38"/>
      <c r="AV385" s="38"/>
      <c r="AW385" s="38"/>
      <c r="AX385" s="38"/>
    </row>
    <row r="386" spans="45:50">
      <c r="AS386" s="40" t="s">
        <v>527</v>
      </c>
      <c r="AT386" s="41" t="s">
        <v>530</v>
      </c>
      <c r="AU386" s="38"/>
      <c r="AV386" s="38"/>
      <c r="AW386" s="38"/>
      <c r="AX386" s="38"/>
    </row>
    <row r="387" spans="45:50">
      <c r="AS387" s="40" t="s">
        <v>527</v>
      </c>
      <c r="AT387" s="41" t="s">
        <v>226</v>
      </c>
      <c r="AU387" s="38"/>
      <c r="AV387" s="38"/>
      <c r="AW387" s="38"/>
      <c r="AX387" s="38"/>
    </row>
    <row r="388" spans="45:50">
      <c r="AS388" s="40" t="s">
        <v>527</v>
      </c>
      <c r="AT388" s="41" t="s">
        <v>531</v>
      </c>
      <c r="AU388" s="38"/>
      <c r="AV388" s="38"/>
      <c r="AW388" s="38"/>
      <c r="AX388" s="38"/>
    </row>
    <row r="389" spans="45:50">
      <c r="AS389" s="40" t="s">
        <v>527</v>
      </c>
      <c r="AT389" s="41" t="s">
        <v>532</v>
      </c>
      <c r="AU389" s="38"/>
      <c r="AV389" s="38"/>
      <c r="AW389" s="38"/>
      <c r="AX389" s="38"/>
    </row>
    <row r="390" spans="45:50">
      <c r="AS390" s="40" t="s">
        <v>527</v>
      </c>
      <c r="AT390" s="41" t="s">
        <v>533</v>
      </c>
      <c r="AU390" s="38"/>
      <c r="AV390" s="38"/>
      <c r="AW390" s="38"/>
      <c r="AX390" s="38"/>
    </row>
    <row r="391" spans="45:50">
      <c r="AS391" s="40" t="s">
        <v>527</v>
      </c>
      <c r="AT391" s="41" t="s">
        <v>534</v>
      </c>
      <c r="AU391" s="38"/>
      <c r="AV391" s="38"/>
      <c r="AW391" s="38"/>
      <c r="AX391" s="38"/>
    </row>
    <row r="392" spans="45:50">
      <c r="AS392" s="40" t="s">
        <v>527</v>
      </c>
      <c r="AT392" s="41" t="s">
        <v>535</v>
      </c>
      <c r="AU392" s="38"/>
      <c r="AV392" s="38"/>
      <c r="AW392" s="38"/>
      <c r="AX392" s="38"/>
    </row>
    <row r="393" spans="45:50">
      <c r="AS393" s="40" t="s">
        <v>527</v>
      </c>
      <c r="AT393" s="41" t="s">
        <v>536</v>
      </c>
      <c r="AU393" s="38"/>
      <c r="AV393" s="38"/>
      <c r="AW393" s="38"/>
      <c r="AX393" s="38"/>
    </row>
    <row r="394" spans="45:50">
      <c r="AS394" s="40" t="s">
        <v>527</v>
      </c>
      <c r="AT394" s="41" t="s">
        <v>537</v>
      </c>
      <c r="AU394" s="38"/>
      <c r="AV394" s="38"/>
      <c r="AW394" s="38"/>
      <c r="AX394" s="38"/>
    </row>
    <row r="395" spans="45:50">
      <c r="AS395" s="40" t="s">
        <v>527</v>
      </c>
      <c r="AT395" s="41" t="s">
        <v>538</v>
      </c>
      <c r="AU395" s="38"/>
      <c r="AV395" s="38"/>
      <c r="AW395" s="38"/>
      <c r="AX395" s="38"/>
    </row>
    <row r="396" spans="45:50">
      <c r="AS396" s="40" t="s">
        <v>527</v>
      </c>
      <c r="AT396" s="41" t="s">
        <v>539</v>
      </c>
      <c r="AU396" s="38"/>
      <c r="AV396" s="38"/>
      <c r="AW396" s="38"/>
      <c r="AX396" s="38"/>
    </row>
    <row r="397" spans="45:50">
      <c r="AS397" s="40" t="s">
        <v>527</v>
      </c>
      <c r="AT397" s="41" t="s">
        <v>540</v>
      </c>
      <c r="AU397" s="38"/>
      <c r="AV397" s="38"/>
      <c r="AW397" s="38"/>
      <c r="AX397" s="38"/>
    </row>
    <row r="398" spans="45:50">
      <c r="AS398" s="40" t="s">
        <v>527</v>
      </c>
      <c r="AT398" s="41" t="s">
        <v>541</v>
      </c>
      <c r="AU398" s="38"/>
      <c r="AV398" s="38"/>
      <c r="AW398" s="38"/>
      <c r="AX398" s="38"/>
    </row>
    <row r="399" spans="45:50">
      <c r="AS399" s="40" t="s">
        <v>527</v>
      </c>
      <c r="AT399" s="41" t="s">
        <v>542</v>
      </c>
      <c r="AU399" s="38"/>
      <c r="AV399" s="38"/>
      <c r="AW399" s="38"/>
      <c r="AX399" s="38"/>
    </row>
    <row r="400" spans="45:50">
      <c r="AS400" s="40" t="s">
        <v>527</v>
      </c>
      <c r="AT400" s="57" t="s">
        <v>543</v>
      </c>
      <c r="AU400" s="38"/>
      <c r="AV400" s="38"/>
      <c r="AW400" s="38"/>
      <c r="AX400" s="38"/>
    </row>
    <row r="401" spans="45:50">
      <c r="AS401" s="40" t="s">
        <v>527</v>
      </c>
      <c r="AT401" s="57" t="s">
        <v>544</v>
      </c>
      <c r="AU401" s="38"/>
      <c r="AV401" s="38"/>
      <c r="AW401" s="38"/>
      <c r="AX401" s="38"/>
    </row>
    <row r="402" spans="45:50">
      <c r="AS402" s="40" t="s">
        <v>527</v>
      </c>
      <c r="AT402" s="41" t="s">
        <v>545</v>
      </c>
      <c r="AU402" s="38"/>
      <c r="AV402" s="38"/>
      <c r="AW402" s="38"/>
      <c r="AX402" s="38"/>
    </row>
    <row r="403" spans="45:50">
      <c r="AS403" s="40" t="s">
        <v>527</v>
      </c>
      <c r="AT403" s="41" t="s">
        <v>546</v>
      </c>
      <c r="AU403" s="38"/>
      <c r="AV403" s="38"/>
      <c r="AW403" s="38"/>
      <c r="AX403" s="38"/>
    </row>
    <row r="404" spans="45:50">
      <c r="AS404" s="40" t="s">
        <v>527</v>
      </c>
      <c r="AT404" s="41" t="s">
        <v>547</v>
      </c>
      <c r="AU404" s="38"/>
      <c r="AV404" s="38"/>
      <c r="AW404" s="38"/>
      <c r="AX404" s="38"/>
    </row>
    <row r="405" spans="45:50">
      <c r="AS405" s="40" t="s">
        <v>527</v>
      </c>
      <c r="AT405" s="41" t="s">
        <v>548</v>
      </c>
      <c r="AU405" s="38"/>
      <c r="AV405" s="38"/>
      <c r="AW405" s="38"/>
      <c r="AX405" s="38"/>
    </row>
    <row r="406" spans="45:50">
      <c r="AS406" s="40" t="s">
        <v>527</v>
      </c>
      <c r="AT406" s="41" t="s">
        <v>549</v>
      </c>
      <c r="AU406" s="38"/>
      <c r="AV406" s="38"/>
      <c r="AW406" s="38"/>
      <c r="AX406" s="38"/>
    </row>
    <row r="407" spans="45:50">
      <c r="AS407" s="40" t="s">
        <v>527</v>
      </c>
      <c r="AT407" s="41" t="s">
        <v>550</v>
      </c>
      <c r="AU407" s="38"/>
      <c r="AV407" s="38"/>
      <c r="AW407" s="38"/>
      <c r="AX407" s="38"/>
    </row>
    <row r="408" spans="45:50">
      <c r="AS408" s="40" t="s">
        <v>527</v>
      </c>
      <c r="AT408" s="41" t="s">
        <v>551</v>
      </c>
      <c r="AU408" s="38"/>
      <c r="AV408" s="38"/>
      <c r="AW408" s="38"/>
      <c r="AX408" s="38"/>
    </row>
    <row r="409" spans="45:50">
      <c r="AS409" s="40" t="s">
        <v>527</v>
      </c>
      <c r="AT409" s="41" t="s">
        <v>552</v>
      </c>
      <c r="AU409" s="38"/>
      <c r="AV409" s="38"/>
      <c r="AW409" s="38"/>
      <c r="AX409" s="38"/>
    </row>
    <row r="410" spans="45:50">
      <c r="AS410" s="40" t="s">
        <v>527</v>
      </c>
      <c r="AT410" s="41" t="s">
        <v>285</v>
      </c>
      <c r="AU410" s="38"/>
      <c r="AV410" s="38"/>
      <c r="AW410" s="38"/>
      <c r="AX410" s="38"/>
    </row>
    <row r="411" spans="45:50">
      <c r="AS411" s="40" t="s">
        <v>527</v>
      </c>
      <c r="AT411" s="41" t="s">
        <v>553</v>
      </c>
      <c r="AU411" s="38"/>
      <c r="AV411" s="38"/>
      <c r="AW411" s="38"/>
      <c r="AX411" s="38"/>
    </row>
    <row r="412" spans="45:50">
      <c r="AS412" s="40" t="s">
        <v>527</v>
      </c>
      <c r="AT412" s="41" t="s">
        <v>554</v>
      </c>
      <c r="AU412" s="38"/>
      <c r="AV412" s="38"/>
      <c r="AW412" s="38"/>
      <c r="AX412" s="38"/>
    </row>
    <row r="413" spans="45:50">
      <c r="AS413" s="40" t="s">
        <v>527</v>
      </c>
      <c r="AT413" s="41" t="s">
        <v>555</v>
      </c>
      <c r="AU413" s="38"/>
      <c r="AV413" s="38"/>
      <c r="AW413" s="38"/>
      <c r="AX413" s="38"/>
    </row>
    <row r="414" spans="45:50">
      <c r="AS414" s="40" t="s">
        <v>527</v>
      </c>
      <c r="AT414" s="41" t="s">
        <v>556</v>
      </c>
      <c r="AU414" s="38"/>
      <c r="AV414" s="38"/>
      <c r="AW414" s="38"/>
      <c r="AX414" s="38"/>
    </row>
    <row r="415" spans="45:50">
      <c r="AS415" s="40" t="s">
        <v>527</v>
      </c>
      <c r="AT415" s="41" t="s">
        <v>557</v>
      </c>
      <c r="AU415" s="38"/>
      <c r="AV415" s="38"/>
      <c r="AW415" s="38"/>
      <c r="AX415" s="38"/>
    </row>
    <row r="416" spans="45:50">
      <c r="AS416" s="40" t="s">
        <v>527</v>
      </c>
      <c r="AT416" s="41" t="s">
        <v>558</v>
      </c>
      <c r="AU416" s="38"/>
      <c r="AV416" s="38"/>
      <c r="AW416" s="38"/>
      <c r="AX416" s="38"/>
    </row>
    <row r="417" spans="45:50">
      <c r="AS417" s="40" t="s">
        <v>527</v>
      </c>
      <c r="AT417" s="41" t="s">
        <v>559</v>
      </c>
      <c r="AU417" s="38"/>
      <c r="AV417" s="38"/>
      <c r="AW417" s="38"/>
      <c r="AX417" s="38"/>
    </row>
    <row r="418" spans="45:50">
      <c r="AS418" s="40" t="s">
        <v>527</v>
      </c>
      <c r="AT418" s="41" t="s">
        <v>560</v>
      </c>
      <c r="AU418" s="38"/>
      <c r="AV418" s="38"/>
      <c r="AW418" s="38"/>
      <c r="AX418" s="38"/>
    </row>
    <row r="419" spans="45:50">
      <c r="AS419" s="40" t="s">
        <v>527</v>
      </c>
      <c r="AT419" s="41" t="s">
        <v>561</v>
      </c>
      <c r="AU419" s="38"/>
      <c r="AV419" s="38"/>
      <c r="AW419" s="38"/>
      <c r="AX419" s="38"/>
    </row>
    <row r="420" spans="45:50">
      <c r="AS420" s="40" t="s">
        <v>562</v>
      </c>
      <c r="AT420" s="41" t="s">
        <v>563</v>
      </c>
      <c r="AU420" s="38"/>
      <c r="AV420" s="38"/>
      <c r="AW420" s="38"/>
      <c r="AX420" s="38"/>
    </row>
    <row r="421" spans="45:50">
      <c r="AS421" s="40" t="s">
        <v>562</v>
      </c>
      <c r="AT421" s="41" t="s">
        <v>564</v>
      </c>
      <c r="AU421" s="38"/>
      <c r="AV421" s="38"/>
      <c r="AW421" s="38"/>
      <c r="AX421" s="38"/>
    </row>
    <row r="422" spans="45:50">
      <c r="AS422" s="40" t="s">
        <v>562</v>
      </c>
      <c r="AT422" s="41" t="s">
        <v>565</v>
      </c>
      <c r="AU422" s="38"/>
      <c r="AV422" s="38"/>
      <c r="AW422" s="38"/>
      <c r="AX422" s="38"/>
    </row>
    <row r="423" spans="45:50">
      <c r="AS423" s="40" t="s">
        <v>562</v>
      </c>
      <c r="AT423" s="41" t="s">
        <v>566</v>
      </c>
      <c r="AU423" s="38"/>
      <c r="AV423" s="38"/>
      <c r="AW423" s="38"/>
      <c r="AX423" s="38"/>
    </row>
    <row r="424" spans="45:50">
      <c r="AS424" s="40" t="s">
        <v>562</v>
      </c>
      <c r="AT424" s="41" t="s">
        <v>567</v>
      </c>
      <c r="AU424" s="38"/>
      <c r="AV424" s="38"/>
      <c r="AW424" s="38"/>
      <c r="AX424" s="38"/>
    </row>
    <row r="425" spans="45:50">
      <c r="AS425" s="40" t="s">
        <v>562</v>
      </c>
      <c r="AT425" s="41" t="s">
        <v>568</v>
      </c>
      <c r="AU425" s="38"/>
      <c r="AV425" s="38"/>
      <c r="AW425" s="38"/>
      <c r="AX425" s="38"/>
    </row>
    <row r="426" spans="45:50">
      <c r="AS426" s="40" t="s">
        <v>562</v>
      </c>
      <c r="AT426" s="41" t="s">
        <v>569</v>
      </c>
      <c r="AU426" s="38"/>
      <c r="AV426" s="38"/>
      <c r="AW426" s="38"/>
      <c r="AX426" s="38"/>
    </row>
    <row r="427" spans="45:50">
      <c r="AS427" s="40" t="s">
        <v>562</v>
      </c>
      <c r="AT427" s="41" t="s">
        <v>570</v>
      </c>
      <c r="AU427" s="38"/>
      <c r="AV427" s="38"/>
      <c r="AW427" s="38"/>
      <c r="AX427" s="38"/>
    </row>
    <row r="428" spans="45:50">
      <c r="AS428" s="40" t="s">
        <v>562</v>
      </c>
      <c r="AT428" s="41" t="s">
        <v>571</v>
      </c>
      <c r="AU428" s="38"/>
      <c r="AV428" s="38"/>
      <c r="AW428" s="38"/>
      <c r="AX428" s="38"/>
    </row>
    <row r="429" spans="45:50">
      <c r="AS429" s="40" t="s">
        <v>562</v>
      </c>
      <c r="AT429" s="41" t="s">
        <v>572</v>
      </c>
      <c r="AU429" s="38"/>
      <c r="AV429" s="38"/>
      <c r="AW429" s="38"/>
      <c r="AX429" s="38"/>
    </row>
    <row r="430" spans="45:50">
      <c r="AS430" s="40" t="s">
        <v>562</v>
      </c>
      <c r="AT430" s="41" t="s">
        <v>573</v>
      </c>
      <c r="AU430" s="38"/>
      <c r="AV430" s="38"/>
      <c r="AW430" s="38"/>
      <c r="AX430" s="38"/>
    </row>
    <row r="431" spans="45:50">
      <c r="AS431" s="40" t="s">
        <v>562</v>
      </c>
      <c r="AT431" s="41" t="s">
        <v>574</v>
      </c>
      <c r="AU431" s="38"/>
      <c r="AV431" s="38"/>
      <c r="AW431" s="38"/>
      <c r="AX431" s="38"/>
    </row>
    <row r="432" spans="45:50">
      <c r="AS432" s="40" t="s">
        <v>562</v>
      </c>
      <c r="AT432" s="41" t="s">
        <v>575</v>
      </c>
      <c r="AU432" s="38"/>
      <c r="AV432" s="38"/>
      <c r="AW432" s="38"/>
      <c r="AX432" s="38"/>
    </row>
    <row r="433" spans="45:50">
      <c r="AS433" s="40" t="s">
        <v>562</v>
      </c>
      <c r="AT433" s="41" t="s">
        <v>576</v>
      </c>
      <c r="AU433" s="38"/>
      <c r="AV433" s="38"/>
      <c r="AW433" s="38"/>
      <c r="AX433" s="38"/>
    </row>
    <row r="434" spans="45:50">
      <c r="AS434" s="40" t="s">
        <v>562</v>
      </c>
      <c r="AT434" s="41" t="s">
        <v>577</v>
      </c>
      <c r="AU434" s="38"/>
      <c r="AV434" s="38"/>
      <c r="AW434" s="38"/>
      <c r="AX434" s="38"/>
    </row>
    <row r="435" spans="45:50">
      <c r="AS435" s="40" t="s">
        <v>562</v>
      </c>
      <c r="AT435" s="41" t="s">
        <v>578</v>
      </c>
      <c r="AU435" s="38"/>
      <c r="AV435" s="38"/>
      <c r="AW435" s="38"/>
      <c r="AX435" s="38"/>
    </row>
    <row r="436" spans="45:50">
      <c r="AS436" s="40" t="s">
        <v>579</v>
      </c>
      <c r="AT436" s="41" t="s">
        <v>580</v>
      </c>
      <c r="AU436" s="38"/>
      <c r="AV436" s="38"/>
      <c r="AW436" s="38"/>
      <c r="AX436" s="38"/>
    </row>
    <row r="437" spans="45:50">
      <c r="AS437" s="40" t="s">
        <v>579</v>
      </c>
      <c r="AT437" s="41" t="s">
        <v>581</v>
      </c>
      <c r="AU437" s="38"/>
      <c r="AV437" s="38"/>
      <c r="AW437" s="38"/>
      <c r="AX437" s="38"/>
    </row>
    <row r="438" spans="45:50">
      <c r="AS438" s="40" t="s">
        <v>579</v>
      </c>
      <c r="AT438" s="41" t="s">
        <v>582</v>
      </c>
      <c r="AU438" s="38"/>
      <c r="AV438" s="38"/>
      <c r="AW438" s="38"/>
      <c r="AX438" s="38"/>
    </row>
    <row r="439" spans="45:50">
      <c r="AS439" s="40" t="s">
        <v>579</v>
      </c>
      <c r="AT439" s="41" t="s">
        <v>583</v>
      </c>
      <c r="AU439" s="38"/>
      <c r="AV439" s="38"/>
      <c r="AW439" s="38"/>
      <c r="AX439" s="38"/>
    </row>
    <row r="440" spans="45:50">
      <c r="AS440" s="40" t="s">
        <v>579</v>
      </c>
      <c r="AT440" s="41" t="s">
        <v>584</v>
      </c>
      <c r="AU440" s="38"/>
      <c r="AV440" s="38"/>
      <c r="AW440" s="38"/>
      <c r="AX440" s="38"/>
    </row>
    <row r="441" spans="45:50">
      <c r="AS441" s="40" t="s">
        <v>579</v>
      </c>
      <c r="AT441" s="41" t="s">
        <v>585</v>
      </c>
      <c r="AU441" s="38"/>
      <c r="AV441" s="38"/>
      <c r="AW441" s="38"/>
      <c r="AX441" s="38"/>
    </row>
    <row r="442" spans="45:50">
      <c r="AS442" s="40" t="s">
        <v>579</v>
      </c>
      <c r="AT442" s="41" t="s">
        <v>586</v>
      </c>
      <c r="AU442" s="38"/>
      <c r="AV442" s="38"/>
      <c r="AW442" s="38"/>
      <c r="AX442" s="38"/>
    </row>
    <row r="443" spans="45:50">
      <c r="AS443" s="40" t="s">
        <v>579</v>
      </c>
      <c r="AT443" s="41" t="s">
        <v>587</v>
      </c>
      <c r="AU443" s="38"/>
      <c r="AV443" s="38"/>
      <c r="AW443" s="38"/>
      <c r="AX443" s="38"/>
    </row>
    <row r="444" spans="45:50">
      <c r="AS444" s="40" t="s">
        <v>579</v>
      </c>
      <c r="AT444" s="41" t="s">
        <v>588</v>
      </c>
      <c r="AU444" s="38"/>
      <c r="AV444" s="38"/>
      <c r="AW444" s="38"/>
      <c r="AX444" s="38"/>
    </row>
    <row r="445" spans="45:50">
      <c r="AS445" s="40" t="s">
        <v>579</v>
      </c>
      <c r="AT445" s="41" t="s">
        <v>589</v>
      </c>
      <c r="AU445" s="38"/>
      <c r="AV445" s="38"/>
      <c r="AW445" s="38"/>
      <c r="AX445" s="38"/>
    </row>
    <row r="446" spans="45:50">
      <c r="AS446" s="40" t="s">
        <v>579</v>
      </c>
      <c r="AT446" s="41" t="s">
        <v>590</v>
      </c>
      <c r="AU446" s="38"/>
      <c r="AV446" s="38"/>
      <c r="AW446" s="38"/>
      <c r="AX446" s="38"/>
    </row>
    <row r="447" spans="45:50">
      <c r="AS447" s="40" t="s">
        <v>591</v>
      </c>
      <c r="AT447" s="41" t="s">
        <v>592</v>
      </c>
      <c r="AU447" s="38"/>
      <c r="AV447" s="38"/>
      <c r="AW447" s="38"/>
      <c r="AX447" s="38"/>
    </row>
    <row r="448" spans="45:50">
      <c r="AS448" s="40" t="s">
        <v>591</v>
      </c>
      <c r="AT448" s="41" t="s">
        <v>593</v>
      </c>
      <c r="AU448" s="38"/>
      <c r="AV448" s="38"/>
      <c r="AW448" s="38"/>
      <c r="AX448" s="38"/>
    </row>
    <row r="449" spans="45:50">
      <c r="AS449" s="40" t="s">
        <v>591</v>
      </c>
      <c r="AT449" s="41" t="s">
        <v>594</v>
      </c>
      <c r="AU449" s="38"/>
      <c r="AV449" s="38"/>
      <c r="AW449" s="38"/>
      <c r="AX449" s="38"/>
    </row>
    <row r="450" spans="45:50">
      <c r="AS450" s="40" t="s">
        <v>591</v>
      </c>
      <c r="AT450" s="41" t="s">
        <v>595</v>
      </c>
      <c r="AU450" s="38"/>
      <c r="AV450" s="38"/>
      <c r="AW450" s="38"/>
      <c r="AX450" s="38"/>
    </row>
    <row r="451" spans="45:50">
      <c r="AS451" s="40" t="s">
        <v>591</v>
      </c>
      <c r="AT451" s="41" t="s">
        <v>596</v>
      </c>
      <c r="AU451" s="38"/>
      <c r="AV451" s="38"/>
      <c r="AW451" s="38"/>
      <c r="AX451" s="38"/>
    </row>
    <row r="452" spans="45:50">
      <c r="AS452" s="40" t="s">
        <v>591</v>
      </c>
      <c r="AT452" s="41" t="s">
        <v>597</v>
      </c>
      <c r="AU452" s="38"/>
      <c r="AV452" s="38"/>
      <c r="AW452" s="38"/>
      <c r="AX452" s="38"/>
    </row>
    <row r="453" spans="45:50">
      <c r="AS453" s="40" t="s">
        <v>591</v>
      </c>
      <c r="AT453" s="41" t="s">
        <v>598</v>
      </c>
      <c r="AU453" s="38"/>
      <c r="AV453" s="38"/>
      <c r="AW453" s="38"/>
      <c r="AX453" s="38"/>
    </row>
    <row r="454" spans="45:50">
      <c r="AS454" s="40" t="s">
        <v>591</v>
      </c>
      <c r="AT454" s="41" t="s">
        <v>599</v>
      </c>
      <c r="AU454" s="38"/>
      <c r="AV454" s="38"/>
      <c r="AW454" s="38"/>
      <c r="AX454" s="38"/>
    </row>
    <row r="455" spans="45:50">
      <c r="AS455" s="40" t="s">
        <v>600</v>
      </c>
      <c r="AT455" s="41" t="s">
        <v>601</v>
      </c>
      <c r="AU455" s="38"/>
      <c r="AV455" s="38"/>
      <c r="AW455" s="38"/>
      <c r="AX455" s="38"/>
    </row>
    <row r="456" spans="45:50">
      <c r="AS456" s="40" t="s">
        <v>600</v>
      </c>
      <c r="AT456" s="41" t="s">
        <v>602</v>
      </c>
      <c r="AU456" s="38"/>
      <c r="AV456" s="38"/>
      <c r="AW456" s="38"/>
      <c r="AX456" s="38"/>
    </row>
    <row r="457" spans="45:50">
      <c r="AS457" s="40" t="s">
        <v>600</v>
      </c>
      <c r="AT457" s="41" t="s">
        <v>603</v>
      </c>
      <c r="AU457" s="38"/>
      <c r="AV457" s="38"/>
      <c r="AW457" s="38"/>
      <c r="AX457" s="38"/>
    </row>
    <row r="458" spans="45:50">
      <c r="AS458" s="40" t="s">
        <v>600</v>
      </c>
      <c r="AT458" s="41" t="s">
        <v>604</v>
      </c>
      <c r="AU458" s="38"/>
      <c r="AV458" s="38"/>
      <c r="AW458" s="38"/>
      <c r="AX458" s="38"/>
    </row>
    <row r="459" spans="45:50">
      <c r="AS459" s="40" t="s">
        <v>600</v>
      </c>
      <c r="AT459" s="41" t="s">
        <v>605</v>
      </c>
      <c r="AU459" s="38"/>
      <c r="AV459" s="38"/>
      <c r="AW459" s="38"/>
      <c r="AX459" s="38"/>
    </row>
    <row r="460" spans="45:50">
      <c r="AS460" s="40" t="s">
        <v>600</v>
      </c>
      <c r="AT460" s="41" t="s">
        <v>606</v>
      </c>
      <c r="AU460" s="38"/>
      <c r="AV460" s="38"/>
      <c r="AW460" s="38"/>
      <c r="AX460" s="38"/>
    </row>
    <row r="461" spans="45:50">
      <c r="AS461" s="40" t="s">
        <v>600</v>
      </c>
      <c r="AT461" s="41" t="s">
        <v>607</v>
      </c>
      <c r="AU461" s="38"/>
      <c r="AV461" s="38"/>
      <c r="AW461" s="38"/>
      <c r="AX461" s="38"/>
    </row>
    <row r="462" spans="45:50">
      <c r="AS462" s="40" t="s">
        <v>600</v>
      </c>
      <c r="AT462" s="41" t="s">
        <v>608</v>
      </c>
      <c r="AU462" s="38"/>
      <c r="AV462" s="38"/>
      <c r="AW462" s="38"/>
      <c r="AX462" s="38"/>
    </row>
    <row r="463" spans="45:50">
      <c r="AS463" s="40" t="s">
        <v>600</v>
      </c>
      <c r="AT463" s="41" t="s">
        <v>609</v>
      </c>
      <c r="AU463" s="38"/>
      <c r="AV463" s="38"/>
      <c r="AW463" s="38"/>
      <c r="AX463" s="38"/>
    </row>
    <row r="464" spans="45:50">
      <c r="AS464" s="40" t="s">
        <v>600</v>
      </c>
      <c r="AT464" s="41" t="s">
        <v>610</v>
      </c>
      <c r="AU464" s="38"/>
      <c r="AV464" s="38"/>
      <c r="AW464" s="38"/>
      <c r="AX464" s="38"/>
    </row>
    <row r="465" spans="45:50">
      <c r="AS465" s="40" t="s">
        <v>600</v>
      </c>
      <c r="AT465" s="41" t="s">
        <v>611</v>
      </c>
      <c r="AU465" s="38"/>
      <c r="AV465" s="38"/>
      <c r="AW465" s="38"/>
      <c r="AX465" s="38"/>
    </row>
    <row r="466" spans="45:50">
      <c r="AS466" s="40" t="s">
        <v>612</v>
      </c>
      <c r="AT466" s="41" t="s">
        <v>613</v>
      </c>
      <c r="AU466" s="38"/>
      <c r="AV466" s="38"/>
      <c r="AW466" s="38"/>
      <c r="AX466" s="38"/>
    </row>
    <row r="467" spans="45:50">
      <c r="AS467" s="40" t="s">
        <v>612</v>
      </c>
      <c r="AT467" s="41" t="s">
        <v>614</v>
      </c>
      <c r="AU467" s="38"/>
      <c r="AV467" s="38"/>
      <c r="AW467" s="38"/>
      <c r="AX467" s="38"/>
    </row>
    <row r="468" spans="45:50">
      <c r="AS468" s="40" t="s">
        <v>612</v>
      </c>
      <c r="AT468" s="41" t="s">
        <v>615</v>
      </c>
      <c r="AU468" s="38"/>
      <c r="AV468" s="38"/>
      <c r="AW468" s="38"/>
      <c r="AX468" s="38"/>
    </row>
    <row r="469" spans="45:50">
      <c r="AS469" s="40" t="s">
        <v>612</v>
      </c>
      <c r="AT469" s="41" t="s">
        <v>616</v>
      </c>
      <c r="AU469" s="38"/>
      <c r="AV469" s="38"/>
      <c r="AW469" s="38"/>
      <c r="AX469" s="38"/>
    </row>
    <row r="470" spans="45:50">
      <c r="AS470" s="40" t="s">
        <v>612</v>
      </c>
      <c r="AT470" s="41" t="s">
        <v>617</v>
      </c>
      <c r="AU470" s="38"/>
      <c r="AV470" s="38"/>
      <c r="AW470" s="38"/>
      <c r="AX470" s="38"/>
    </row>
    <row r="471" spans="45:50">
      <c r="AS471" s="40" t="s">
        <v>612</v>
      </c>
      <c r="AT471" s="41" t="s">
        <v>618</v>
      </c>
      <c r="AU471" s="38"/>
      <c r="AV471" s="38"/>
      <c r="AW471" s="38"/>
      <c r="AX471" s="38"/>
    </row>
    <row r="472" spans="45:50">
      <c r="AS472" s="40" t="s">
        <v>612</v>
      </c>
      <c r="AT472" s="41" t="s">
        <v>619</v>
      </c>
      <c r="AU472" s="38"/>
      <c r="AV472" s="38"/>
      <c r="AW472" s="38"/>
      <c r="AX472" s="38"/>
    </row>
    <row r="473" spans="45:50">
      <c r="AS473" s="40" t="s">
        <v>612</v>
      </c>
      <c r="AT473" s="41" t="s">
        <v>620</v>
      </c>
      <c r="AU473" s="38"/>
      <c r="AV473" s="38"/>
      <c r="AW473" s="38"/>
      <c r="AX473" s="38"/>
    </row>
    <row r="474" spans="45:50">
      <c r="AS474" s="40" t="s">
        <v>612</v>
      </c>
      <c r="AT474" s="41" t="s">
        <v>621</v>
      </c>
      <c r="AU474" s="38"/>
      <c r="AV474" s="38"/>
      <c r="AW474" s="38"/>
      <c r="AX474" s="38"/>
    </row>
    <row r="475" spans="45:50">
      <c r="AS475" s="40" t="s">
        <v>612</v>
      </c>
      <c r="AT475" s="41" t="s">
        <v>622</v>
      </c>
      <c r="AU475" s="38"/>
      <c r="AV475" s="38"/>
      <c r="AW475" s="38"/>
      <c r="AX475" s="38"/>
    </row>
    <row r="476" spans="45:50">
      <c r="AS476" s="40" t="s">
        <v>612</v>
      </c>
      <c r="AT476" s="41" t="s">
        <v>623</v>
      </c>
      <c r="AU476" s="38"/>
      <c r="AV476" s="38"/>
      <c r="AW476" s="38"/>
      <c r="AX476" s="38"/>
    </row>
    <row r="477" spans="45:50">
      <c r="AS477" s="40" t="s">
        <v>612</v>
      </c>
      <c r="AT477" s="41" t="s">
        <v>624</v>
      </c>
      <c r="AU477" s="38"/>
      <c r="AV477" s="38"/>
      <c r="AW477" s="38"/>
      <c r="AX477" s="38"/>
    </row>
    <row r="478" spans="45:50">
      <c r="AS478" s="40" t="s">
        <v>612</v>
      </c>
      <c r="AT478" s="41" t="s">
        <v>625</v>
      </c>
      <c r="AU478" s="38"/>
      <c r="AV478" s="38"/>
      <c r="AW478" s="38"/>
      <c r="AX478" s="38"/>
    </row>
    <row r="479" spans="45:50">
      <c r="AS479" s="40" t="s">
        <v>612</v>
      </c>
      <c r="AT479" s="41" t="s">
        <v>626</v>
      </c>
      <c r="AU479" s="38"/>
      <c r="AV479" s="38"/>
      <c r="AW479" s="38"/>
      <c r="AX479" s="38"/>
    </row>
    <row r="480" spans="45:50">
      <c r="AS480" s="40" t="s">
        <v>612</v>
      </c>
      <c r="AT480" s="41" t="s">
        <v>627</v>
      </c>
      <c r="AU480" s="38"/>
      <c r="AV480" s="38"/>
      <c r="AW480" s="38"/>
      <c r="AX480" s="38"/>
    </row>
    <row r="481" spans="45:50">
      <c r="AS481" s="40" t="s">
        <v>612</v>
      </c>
      <c r="AT481" s="41" t="s">
        <v>628</v>
      </c>
      <c r="AU481" s="38"/>
      <c r="AV481" s="38"/>
      <c r="AW481" s="38"/>
      <c r="AX481" s="38"/>
    </row>
    <row r="482" spans="45:50">
      <c r="AS482" s="40" t="s">
        <v>612</v>
      </c>
      <c r="AT482" s="41" t="s">
        <v>629</v>
      </c>
      <c r="AU482" s="38"/>
      <c r="AV482" s="38"/>
      <c r="AW482" s="38"/>
      <c r="AX482" s="38"/>
    </row>
    <row r="483" spans="45:50">
      <c r="AS483" s="40" t="s">
        <v>612</v>
      </c>
      <c r="AT483" s="41" t="s">
        <v>630</v>
      </c>
      <c r="AU483" s="38"/>
      <c r="AV483" s="38"/>
      <c r="AW483" s="38"/>
      <c r="AX483" s="38"/>
    </row>
    <row r="484" spans="45:50">
      <c r="AS484" s="40" t="s">
        <v>612</v>
      </c>
      <c r="AT484" s="41" t="s">
        <v>631</v>
      </c>
      <c r="AU484" s="38"/>
      <c r="AV484" s="38"/>
      <c r="AW484" s="38"/>
      <c r="AX484" s="38"/>
    </row>
    <row r="485" spans="45:50">
      <c r="AS485" s="40" t="s">
        <v>612</v>
      </c>
      <c r="AT485" s="41" t="s">
        <v>632</v>
      </c>
      <c r="AU485" s="38"/>
      <c r="AV485" s="38"/>
      <c r="AW485" s="38"/>
      <c r="AX485" s="38"/>
    </row>
    <row r="486" spans="45:50">
      <c r="AS486" s="40" t="s">
        <v>612</v>
      </c>
      <c r="AT486" s="41" t="s">
        <v>633</v>
      </c>
      <c r="AU486" s="38"/>
      <c r="AV486" s="38"/>
      <c r="AW486" s="38"/>
      <c r="AX486" s="38"/>
    </row>
    <row r="487" spans="45:50">
      <c r="AS487" s="40" t="s">
        <v>612</v>
      </c>
      <c r="AT487" s="41" t="s">
        <v>634</v>
      </c>
      <c r="AU487" s="38"/>
      <c r="AV487" s="38"/>
      <c r="AW487" s="38"/>
      <c r="AX487" s="38"/>
    </row>
    <row r="488" spans="45:50">
      <c r="AS488" s="40" t="s">
        <v>612</v>
      </c>
      <c r="AT488" s="41" t="s">
        <v>635</v>
      </c>
      <c r="AU488" s="38"/>
      <c r="AV488" s="38"/>
      <c r="AW488" s="38"/>
      <c r="AX488" s="38"/>
    </row>
    <row r="489" spans="45:50">
      <c r="AS489" s="40" t="s">
        <v>612</v>
      </c>
      <c r="AT489" s="41" t="s">
        <v>636</v>
      </c>
      <c r="AU489" s="38"/>
      <c r="AV489" s="38"/>
      <c r="AW489" s="38"/>
      <c r="AX489" s="38"/>
    </row>
    <row r="490" spans="45:50">
      <c r="AS490" s="40" t="s">
        <v>612</v>
      </c>
      <c r="AT490" s="41" t="s">
        <v>637</v>
      </c>
      <c r="AU490" s="38"/>
      <c r="AV490" s="38"/>
      <c r="AW490" s="38"/>
      <c r="AX490" s="38"/>
    </row>
    <row r="491" spans="45:50">
      <c r="AS491" s="40" t="s">
        <v>612</v>
      </c>
      <c r="AT491" s="41" t="s">
        <v>638</v>
      </c>
      <c r="AU491" s="38"/>
      <c r="AV491" s="38"/>
      <c r="AW491" s="38"/>
      <c r="AX491" s="38"/>
    </row>
    <row r="492" spans="45:50">
      <c r="AS492" s="40" t="s">
        <v>612</v>
      </c>
      <c r="AT492" s="41" t="s">
        <v>639</v>
      </c>
      <c r="AU492" s="38"/>
      <c r="AV492" s="38"/>
      <c r="AW492" s="38"/>
      <c r="AX492" s="38"/>
    </row>
    <row r="493" spans="45:50">
      <c r="AS493" s="40" t="s">
        <v>612</v>
      </c>
      <c r="AT493" s="41" t="s">
        <v>640</v>
      </c>
      <c r="AU493" s="38"/>
      <c r="AV493" s="38"/>
      <c r="AW493" s="38"/>
      <c r="AX493" s="38"/>
    </row>
    <row r="494" spans="45:50">
      <c r="AS494" s="40" t="s">
        <v>612</v>
      </c>
      <c r="AT494" s="41" t="s">
        <v>641</v>
      </c>
      <c r="AU494" s="38"/>
      <c r="AV494" s="38"/>
      <c r="AW494" s="38"/>
      <c r="AX494" s="38"/>
    </row>
    <row r="495" spans="45:50">
      <c r="AS495" s="40" t="s">
        <v>612</v>
      </c>
      <c r="AT495" s="41" t="s">
        <v>642</v>
      </c>
      <c r="AU495" s="38"/>
      <c r="AV495" s="38"/>
      <c r="AW495" s="38"/>
      <c r="AX495" s="38"/>
    </row>
    <row r="496" spans="45:50">
      <c r="AS496" s="58" t="s">
        <v>643</v>
      </c>
      <c r="AT496" s="41" t="s">
        <v>644</v>
      </c>
      <c r="AU496" s="38"/>
      <c r="AV496" s="38"/>
      <c r="AW496" s="38"/>
      <c r="AX496" s="38"/>
    </row>
    <row r="497" spans="45:50">
      <c r="AS497" s="58" t="s">
        <v>643</v>
      </c>
      <c r="AT497" s="41" t="s">
        <v>645</v>
      </c>
      <c r="AU497" s="38"/>
      <c r="AV497" s="38"/>
      <c r="AW497" s="38"/>
      <c r="AX497" s="38"/>
    </row>
    <row r="498" spans="45:50">
      <c r="AS498" s="58" t="s">
        <v>643</v>
      </c>
      <c r="AT498" s="41" t="s">
        <v>646</v>
      </c>
      <c r="AU498" s="38"/>
      <c r="AV498" s="38"/>
      <c r="AW498" s="38"/>
      <c r="AX498" s="38"/>
    </row>
    <row r="499" spans="45:50">
      <c r="AS499" s="58" t="s">
        <v>643</v>
      </c>
      <c r="AT499" s="41" t="s">
        <v>647</v>
      </c>
      <c r="AU499" s="38"/>
      <c r="AV499" s="38"/>
      <c r="AW499" s="38"/>
      <c r="AX499" s="38"/>
    </row>
    <row r="500" spans="45:50">
      <c r="AS500" s="40" t="s">
        <v>648</v>
      </c>
      <c r="AT500" s="41" t="s">
        <v>649</v>
      </c>
      <c r="AU500" s="38"/>
      <c r="AV500" s="38"/>
      <c r="AW500" s="38"/>
      <c r="AX500" s="38"/>
    </row>
    <row r="501" spans="45:50">
      <c r="AS501" s="40" t="s">
        <v>648</v>
      </c>
      <c r="AT501" s="41" t="s">
        <v>650</v>
      </c>
      <c r="AU501" s="38"/>
      <c r="AV501" s="38"/>
      <c r="AW501" s="38"/>
      <c r="AX501" s="38"/>
    </row>
    <row r="502" spans="45:50">
      <c r="AS502" s="40" t="s">
        <v>648</v>
      </c>
      <c r="AT502" s="41" t="s">
        <v>651</v>
      </c>
      <c r="AU502" s="38"/>
      <c r="AV502" s="38"/>
      <c r="AW502" s="38"/>
      <c r="AX502" s="38"/>
    </row>
    <row r="503" spans="45:50">
      <c r="AS503" s="40" t="s">
        <v>648</v>
      </c>
      <c r="AT503" s="41" t="s">
        <v>652</v>
      </c>
      <c r="AU503" s="38"/>
      <c r="AV503" s="38"/>
      <c r="AW503" s="38"/>
      <c r="AX503" s="38"/>
    </row>
    <row r="504" spans="45:50">
      <c r="AS504" s="40" t="s">
        <v>648</v>
      </c>
      <c r="AT504" s="41" t="s">
        <v>653</v>
      </c>
      <c r="AU504" s="38"/>
      <c r="AV504" s="38"/>
      <c r="AW504" s="38"/>
      <c r="AX504" s="38"/>
    </row>
    <row r="505" spans="45:50">
      <c r="AS505" s="40" t="s">
        <v>648</v>
      </c>
      <c r="AT505" s="41" t="s">
        <v>654</v>
      </c>
      <c r="AU505" s="38"/>
      <c r="AV505" s="38"/>
      <c r="AW505" s="38"/>
      <c r="AX505" s="38"/>
    </row>
    <row r="506" spans="45:50">
      <c r="AS506" s="40" t="s">
        <v>648</v>
      </c>
      <c r="AT506" s="41" t="s">
        <v>655</v>
      </c>
      <c r="AU506" s="38"/>
      <c r="AV506" s="38"/>
      <c r="AW506" s="38"/>
      <c r="AX506" s="38"/>
    </row>
    <row r="507" spans="45:50">
      <c r="AS507" s="40" t="s">
        <v>648</v>
      </c>
      <c r="AT507" s="41" t="s">
        <v>656</v>
      </c>
      <c r="AU507" s="38"/>
      <c r="AV507" s="38"/>
      <c r="AW507" s="38"/>
      <c r="AX507" s="38"/>
    </row>
    <row r="508" spans="45:50">
      <c r="AS508" s="40" t="s">
        <v>648</v>
      </c>
      <c r="AT508" s="41" t="s">
        <v>657</v>
      </c>
      <c r="AU508" s="38"/>
      <c r="AV508" s="38"/>
      <c r="AW508" s="38"/>
      <c r="AX508" s="38"/>
    </row>
    <row r="509" spans="45:50">
      <c r="AS509" s="40" t="s">
        <v>648</v>
      </c>
      <c r="AT509" s="41" t="s">
        <v>658</v>
      </c>
      <c r="AU509" s="38"/>
      <c r="AV509" s="38"/>
      <c r="AW509" s="38"/>
      <c r="AX509" s="38"/>
    </row>
    <row r="510" spans="45:50">
      <c r="AS510" s="40" t="s">
        <v>648</v>
      </c>
      <c r="AT510" s="41" t="s">
        <v>659</v>
      </c>
      <c r="AU510" s="38"/>
      <c r="AV510" s="38"/>
      <c r="AW510" s="38"/>
      <c r="AX510" s="38"/>
    </row>
    <row r="511" spans="45:50">
      <c r="AS511" s="40" t="s">
        <v>648</v>
      </c>
      <c r="AT511" s="41" t="s">
        <v>660</v>
      </c>
      <c r="AU511" s="38"/>
      <c r="AV511" s="38"/>
      <c r="AW511" s="38"/>
      <c r="AX511" s="38"/>
    </row>
    <row r="512" spans="45:50">
      <c r="AS512" s="40" t="s">
        <v>648</v>
      </c>
      <c r="AT512" s="41" t="s">
        <v>661</v>
      </c>
      <c r="AU512" s="38"/>
      <c r="AV512" s="38"/>
      <c r="AW512" s="38"/>
      <c r="AX512" s="38"/>
    </row>
    <row r="513" spans="45:50">
      <c r="AS513" s="40" t="s">
        <v>648</v>
      </c>
      <c r="AT513" s="41" t="s">
        <v>662</v>
      </c>
      <c r="AU513" s="38"/>
      <c r="AV513" s="38"/>
      <c r="AW513" s="38"/>
      <c r="AX513" s="38"/>
    </row>
    <row r="514" spans="45:50">
      <c r="AS514" s="40" t="s">
        <v>648</v>
      </c>
      <c r="AT514" s="41" t="s">
        <v>663</v>
      </c>
      <c r="AU514" s="38"/>
      <c r="AV514" s="38"/>
      <c r="AW514" s="38"/>
      <c r="AX514" s="38"/>
    </row>
    <row r="515" spans="45:50">
      <c r="AS515" s="40" t="s">
        <v>648</v>
      </c>
      <c r="AT515" s="41" t="s">
        <v>664</v>
      </c>
      <c r="AU515" s="38"/>
      <c r="AV515" s="38"/>
      <c r="AW515" s="38"/>
      <c r="AX515" s="38"/>
    </row>
    <row r="516" spans="45:50">
      <c r="AS516" s="40" t="s">
        <v>648</v>
      </c>
      <c r="AT516" s="41" t="s">
        <v>665</v>
      </c>
      <c r="AU516" s="38"/>
      <c r="AV516" s="38"/>
      <c r="AW516" s="38"/>
      <c r="AX516" s="38"/>
    </row>
    <row r="517" spans="45:50">
      <c r="AS517" s="40" t="s">
        <v>648</v>
      </c>
      <c r="AT517" s="41" t="s">
        <v>666</v>
      </c>
      <c r="AU517" s="38"/>
      <c r="AV517" s="38"/>
      <c r="AW517" s="38"/>
      <c r="AX517" s="38"/>
    </row>
    <row r="518" spans="45:50">
      <c r="AS518" s="40" t="s">
        <v>648</v>
      </c>
      <c r="AT518" s="41" t="s">
        <v>667</v>
      </c>
      <c r="AU518" s="38"/>
      <c r="AV518" s="38"/>
      <c r="AW518" s="38"/>
      <c r="AX518" s="38"/>
    </row>
    <row r="519" spans="45:50">
      <c r="AS519" s="40" t="s">
        <v>648</v>
      </c>
      <c r="AT519" s="41" t="s">
        <v>668</v>
      </c>
      <c r="AU519" s="38"/>
      <c r="AV519" s="38"/>
      <c r="AW519" s="38"/>
      <c r="AX519" s="38"/>
    </row>
    <row r="520" spans="45:50">
      <c r="AS520" s="40" t="s">
        <v>648</v>
      </c>
      <c r="AT520" s="41" t="s">
        <v>669</v>
      </c>
      <c r="AU520" s="38"/>
      <c r="AV520" s="38"/>
      <c r="AW520" s="38"/>
      <c r="AX520" s="38"/>
    </row>
    <row r="521" spans="45:50">
      <c r="AS521" s="40" t="s">
        <v>648</v>
      </c>
      <c r="AT521" s="41" t="s">
        <v>670</v>
      </c>
      <c r="AU521" s="38"/>
      <c r="AV521" s="38"/>
      <c r="AW521" s="38"/>
      <c r="AX521" s="38"/>
    </row>
    <row r="522" spans="45:50">
      <c r="AS522" s="40" t="s">
        <v>671</v>
      </c>
      <c r="AT522" s="41" t="s">
        <v>672</v>
      </c>
      <c r="AU522" s="38"/>
      <c r="AV522" s="38"/>
      <c r="AW522" s="38"/>
      <c r="AX522" s="38"/>
    </row>
    <row r="523" spans="45:50">
      <c r="AS523" s="40" t="s">
        <v>671</v>
      </c>
      <c r="AT523" s="41" t="s">
        <v>673</v>
      </c>
      <c r="AU523" s="38"/>
      <c r="AV523" s="38"/>
      <c r="AW523" s="38"/>
      <c r="AX523" s="38"/>
    </row>
    <row r="524" spans="45:50">
      <c r="AS524" s="40" t="s">
        <v>671</v>
      </c>
      <c r="AT524" s="41" t="s">
        <v>674</v>
      </c>
      <c r="AU524" s="38"/>
      <c r="AV524" s="38"/>
      <c r="AW524" s="38"/>
      <c r="AX524" s="38"/>
    </row>
    <row r="525" spans="45:50">
      <c r="AS525" s="40" t="s">
        <v>671</v>
      </c>
      <c r="AT525" s="41" t="s">
        <v>675</v>
      </c>
      <c r="AU525" s="38"/>
      <c r="AV525" s="38"/>
      <c r="AW525" s="38"/>
      <c r="AX525" s="38"/>
    </row>
    <row r="526" spans="45:50">
      <c r="AS526" s="40" t="s">
        <v>671</v>
      </c>
      <c r="AT526" s="41" t="s">
        <v>676</v>
      </c>
      <c r="AU526" s="38"/>
      <c r="AV526" s="38"/>
      <c r="AW526" s="38"/>
      <c r="AX526" s="38"/>
    </row>
    <row r="527" spans="45:50">
      <c r="AS527" s="40" t="s">
        <v>671</v>
      </c>
      <c r="AT527" s="41" t="s">
        <v>677</v>
      </c>
      <c r="AU527" s="38"/>
      <c r="AV527" s="38"/>
      <c r="AW527" s="38"/>
      <c r="AX527" s="38"/>
    </row>
    <row r="528" spans="45:50">
      <c r="AS528" s="40" t="s">
        <v>671</v>
      </c>
      <c r="AT528" s="41" t="s">
        <v>678</v>
      </c>
      <c r="AU528" s="38"/>
      <c r="AV528" s="38"/>
      <c r="AW528" s="38"/>
      <c r="AX528" s="38"/>
    </row>
    <row r="529" spans="45:50">
      <c r="AS529" s="40" t="s">
        <v>671</v>
      </c>
      <c r="AT529" s="41" t="s">
        <v>679</v>
      </c>
      <c r="AU529" s="38"/>
      <c r="AV529" s="38"/>
      <c r="AW529" s="38"/>
      <c r="AX529" s="38"/>
    </row>
    <row r="530" spans="45:50">
      <c r="AS530" s="40" t="s">
        <v>671</v>
      </c>
      <c r="AT530" s="41" t="s">
        <v>680</v>
      </c>
      <c r="AU530" s="38"/>
      <c r="AV530" s="38"/>
      <c r="AW530" s="38"/>
      <c r="AX530" s="38"/>
    </row>
    <row r="531" spans="45:50">
      <c r="AS531" s="40" t="s">
        <v>671</v>
      </c>
      <c r="AT531" s="41" t="s">
        <v>681</v>
      </c>
      <c r="AU531" s="38"/>
      <c r="AV531" s="38"/>
      <c r="AW531" s="38"/>
      <c r="AX531" s="38"/>
    </row>
    <row r="532" spans="45:50">
      <c r="AS532" s="40" t="s">
        <v>671</v>
      </c>
      <c r="AT532" s="41" t="s">
        <v>682</v>
      </c>
      <c r="AU532" s="38"/>
      <c r="AV532" s="38"/>
      <c r="AW532" s="38"/>
      <c r="AX532" s="38"/>
    </row>
    <row r="533" spans="45:50">
      <c r="AS533" s="40" t="s">
        <v>671</v>
      </c>
      <c r="AT533" s="41" t="s">
        <v>683</v>
      </c>
      <c r="AU533" s="38"/>
      <c r="AV533" s="38"/>
      <c r="AW533" s="38"/>
      <c r="AX533" s="38"/>
    </row>
    <row r="534" spans="45:50">
      <c r="AS534" s="40" t="s">
        <v>671</v>
      </c>
      <c r="AT534" s="41" t="s">
        <v>684</v>
      </c>
      <c r="AU534" s="38"/>
      <c r="AV534" s="38"/>
      <c r="AW534" s="38"/>
      <c r="AX534" s="38"/>
    </row>
    <row r="535" spans="45:50">
      <c r="AS535" s="40" t="s">
        <v>671</v>
      </c>
      <c r="AT535" s="41" t="s">
        <v>685</v>
      </c>
      <c r="AU535" s="38"/>
      <c r="AV535" s="38"/>
      <c r="AW535" s="38"/>
      <c r="AX535" s="38"/>
    </row>
    <row r="536" spans="45:50">
      <c r="AS536" s="40" t="s">
        <v>671</v>
      </c>
      <c r="AT536" s="41" t="s">
        <v>686</v>
      </c>
      <c r="AU536" s="38"/>
      <c r="AV536" s="38"/>
      <c r="AW536" s="38"/>
      <c r="AX536" s="38"/>
    </row>
    <row r="537" spans="45:50">
      <c r="AS537" s="40" t="s">
        <v>671</v>
      </c>
      <c r="AT537" s="41" t="s">
        <v>687</v>
      </c>
      <c r="AU537" s="38"/>
      <c r="AV537" s="38"/>
      <c r="AW537" s="38"/>
      <c r="AX537" s="38"/>
    </row>
    <row r="538" spans="45:50">
      <c r="AS538" s="40" t="s">
        <v>671</v>
      </c>
      <c r="AT538" s="41" t="s">
        <v>688</v>
      </c>
      <c r="AU538" s="38"/>
      <c r="AV538" s="38"/>
      <c r="AW538" s="38"/>
      <c r="AX538" s="38"/>
    </row>
    <row r="539" spans="45:50">
      <c r="AS539" s="40" t="s">
        <v>671</v>
      </c>
      <c r="AT539" s="41" t="s">
        <v>689</v>
      </c>
      <c r="AU539" s="38"/>
      <c r="AV539" s="38"/>
      <c r="AW539" s="38"/>
      <c r="AX539" s="38"/>
    </row>
    <row r="540" spans="45:50">
      <c r="AS540" s="40" t="s">
        <v>671</v>
      </c>
      <c r="AT540" s="41" t="s">
        <v>690</v>
      </c>
      <c r="AU540" s="38"/>
      <c r="AV540" s="38"/>
      <c r="AW540" s="38"/>
      <c r="AX540" s="38"/>
    </row>
    <row r="541" spans="45:50">
      <c r="AS541" s="40" t="s">
        <v>671</v>
      </c>
      <c r="AT541" s="41" t="s">
        <v>691</v>
      </c>
      <c r="AU541" s="38"/>
      <c r="AV541" s="38"/>
      <c r="AW541" s="38"/>
      <c r="AX541" s="38"/>
    </row>
    <row r="542" spans="45:50">
      <c r="AS542" s="40" t="s">
        <v>671</v>
      </c>
      <c r="AT542" s="41" t="s">
        <v>692</v>
      </c>
      <c r="AU542" s="38"/>
      <c r="AV542" s="38"/>
      <c r="AW542" s="38"/>
      <c r="AX542" s="38"/>
    </row>
    <row r="543" spans="45:50">
      <c r="AS543" s="40" t="s">
        <v>671</v>
      </c>
      <c r="AT543" s="41" t="s">
        <v>693</v>
      </c>
      <c r="AU543" s="38"/>
      <c r="AV543" s="38"/>
      <c r="AW543" s="38"/>
      <c r="AX543" s="38"/>
    </row>
    <row r="544" spans="45:50">
      <c r="AS544" s="40" t="s">
        <v>671</v>
      </c>
      <c r="AT544" s="41" t="s">
        <v>694</v>
      </c>
      <c r="AU544" s="38"/>
      <c r="AV544" s="38"/>
      <c r="AW544" s="38"/>
      <c r="AX544" s="38"/>
    </row>
    <row r="545" spans="45:50">
      <c r="AS545" s="40" t="s">
        <v>671</v>
      </c>
      <c r="AT545" s="41" t="s">
        <v>695</v>
      </c>
      <c r="AU545" s="38"/>
      <c r="AV545" s="38"/>
      <c r="AW545" s="38"/>
      <c r="AX545" s="38"/>
    </row>
    <row r="546" spans="45:50">
      <c r="AS546" s="40" t="s">
        <v>671</v>
      </c>
      <c r="AT546" s="41" t="s">
        <v>696</v>
      </c>
      <c r="AU546" s="38"/>
      <c r="AV546" s="38"/>
      <c r="AW546" s="38"/>
      <c r="AX546" s="38"/>
    </row>
    <row r="547" spans="45:50">
      <c r="AS547" s="40" t="s">
        <v>671</v>
      </c>
      <c r="AT547" s="41" t="s">
        <v>697</v>
      </c>
      <c r="AU547" s="38"/>
      <c r="AV547" s="38"/>
      <c r="AW547" s="38"/>
      <c r="AX547" s="38"/>
    </row>
    <row r="548" spans="45:50">
      <c r="AS548" s="40" t="s">
        <v>671</v>
      </c>
      <c r="AT548" s="41" t="s">
        <v>698</v>
      </c>
      <c r="AU548" s="38"/>
      <c r="AV548" s="38"/>
      <c r="AW548" s="38"/>
      <c r="AX548" s="38"/>
    </row>
    <row r="549" spans="45:50">
      <c r="AS549" s="40" t="s">
        <v>671</v>
      </c>
      <c r="AT549" s="41" t="s">
        <v>699</v>
      </c>
      <c r="AU549" s="38"/>
      <c r="AV549" s="38"/>
      <c r="AW549" s="38"/>
      <c r="AX549" s="38"/>
    </row>
    <row r="550" spans="45:50">
      <c r="AS550" s="40" t="s">
        <v>671</v>
      </c>
      <c r="AT550" s="41" t="s">
        <v>700</v>
      </c>
      <c r="AU550" s="38"/>
      <c r="AV550" s="38"/>
      <c r="AW550" s="38"/>
      <c r="AX550" s="38"/>
    </row>
    <row r="551" spans="45:50">
      <c r="AS551" s="40" t="s">
        <v>671</v>
      </c>
      <c r="AT551" s="41" t="s">
        <v>701</v>
      </c>
      <c r="AU551" s="38"/>
      <c r="AV551" s="38"/>
      <c r="AW551" s="38"/>
      <c r="AX551" s="38"/>
    </row>
    <row r="552" spans="45:50">
      <c r="AS552" s="40" t="s">
        <v>671</v>
      </c>
      <c r="AT552" s="41" t="s">
        <v>702</v>
      </c>
      <c r="AU552" s="38"/>
      <c r="AV552" s="38"/>
      <c r="AW552" s="38"/>
      <c r="AX552" s="38"/>
    </row>
    <row r="553" spans="45:50">
      <c r="AS553" s="40" t="s">
        <v>671</v>
      </c>
      <c r="AT553" s="41" t="s">
        <v>703</v>
      </c>
      <c r="AU553" s="38"/>
      <c r="AV553" s="38"/>
      <c r="AW553" s="38"/>
      <c r="AX553" s="38"/>
    </row>
    <row r="554" spans="45:50">
      <c r="AS554" s="40" t="s">
        <v>671</v>
      </c>
      <c r="AT554" s="41" t="s">
        <v>704</v>
      </c>
      <c r="AU554" s="38"/>
      <c r="AV554" s="38"/>
      <c r="AW554" s="38"/>
      <c r="AX554" s="38"/>
    </row>
    <row r="555" spans="45:50">
      <c r="AS555" s="40" t="s">
        <v>705</v>
      </c>
      <c r="AT555" s="41" t="s">
        <v>298</v>
      </c>
      <c r="AU555" s="38"/>
      <c r="AV555" s="38"/>
      <c r="AW555" s="38"/>
      <c r="AX555" s="38"/>
    </row>
    <row r="556" spans="45:50">
      <c r="AS556" s="40" t="s">
        <v>705</v>
      </c>
      <c r="AT556" s="41" t="s">
        <v>300</v>
      </c>
      <c r="AU556" s="38"/>
      <c r="AV556" s="38"/>
      <c r="AW556" s="38"/>
      <c r="AX556" s="38"/>
    </row>
    <row r="557" spans="45:50">
      <c r="AS557" s="40" t="s">
        <v>705</v>
      </c>
      <c r="AT557" s="41" t="s">
        <v>304</v>
      </c>
      <c r="AU557" s="38"/>
      <c r="AV557" s="38"/>
      <c r="AW557" s="38"/>
      <c r="AX557" s="38"/>
    </row>
    <row r="558" spans="45:50">
      <c r="AS558" s="40" t="s">
        <v>705</v>
      </c>
      <c r="AT558" s="41" t="s">
        <v>307</v>
      </c>
      <c r="AU558" s="38"/>
      <c r="AV558" s="38"/>
      <c r="AW558" s="38"/>
      <c r="AX558" s="38"/>
    </row>
    <row r="559" spans="45:50">
      <c r="AS559" s="40" t="s">
        <v>706</v>
      </c>
      <c r="AT559" s="41" t="s">
        <v>707</v>
      </c>
      <c r="AU559" s="38"/>
      <c r="AV559" s="38"/>
      <c r="AW559" s="38"/>
      <c r="AX559" s="38"/>
    </row>
    <row r="560" spans="45:50">
      <c r="AS560" s="40" t="s">
        <v>706</v>
      </c>
      <c r="AT560" s="41" t="s">
        <v>708</v>
      </c>
      <c r="AU560" s="38"/>
      <c r="AV560" s="38"/>
      <c r="AW560" s="38"/>
      <c r="AX560" s="38"/>
    </row>
    <row r="561" spans="45:50">
      <c r="AS561" s="40" t="s">
        <v>706</v>
      </c>
      <c r="AT561" s="41" t="s">
        <v>709</v>
      </c>
      <c r="AU561" s="38"/>
      <c r="AV561" s="38"/>
      <c r="AW561" s="38"/>
      <c r="AX561" s="38"/>
    </row>
    <row r="562" spans="45:50">
      <c r="AS562" s="40" t="s">
        <v>706</v>
      </c>
      <c r="AT562" s="41" t="s">
        <v>710</v>
      </c>
      <c r="AU562" s="38"/>
      <c r="AV562" s="38"/>
      <c r="AW562" s="38"/>
      <c r="AX562" s="38"/>
    </row>
    <row r="563" spans="45:50">
      <c r="AS563" s="40" t="s">
        <v>706</v>
      </c>
      <c r="AT563" s="41" t="s">
        <v>711</v>
      </c>
      <c r="AU563" s="38"/>
      <c r="AV563" s="38"/>
      <c r="AW563" s="38"/>
      <c r="AX563" s="38"/>
    </row>
    <row r="564" spans="45:50">
      <c r="AS564" s="40" t="s">
        <v>706</v>
      </c>
      <c r="AT564" s="41" t="s">
        <v>712</v>
      </c>
      <c r="AU564" s="38"/>
      <c r="AV564" s="38"/>
      <c r="AW564" s="38"/>
      <c r="AX564" s="38"/>
    </row>
    <row r="565" spans="45:50">
      <c r="AS565" s="40" t="s">
        <v>706</v>
      </c>
      <c r="AT565" s="41" t="s">
        <v>713</v>
      </c>
      <c r="AU565" s="38"/>
      <c r="AV565" s="38"/>
      <c r="AW565" s="38"/>
      <c r="AX565" s="38"/>
    </row>
    <row r="566" spans="45:50">
      <c r="AS566" s="40" t="s">
        <v>706</v>
      </c>
      <c r="AT566" s="41" t="s">
        <v>714</v>
      </c>
      <c r="AU566" s="38"/>
      <c r="AV566" s="38"/>
      <c r="AW566" s="38"/>
      <c r="AX566" s="38"/>
    </row>
    <row r="567" spans="45:50">
      <c r="AS567" s="40" t="s">
        <v>706</v>
      </c>
      <c r="AT567" s="41" t="s">
        <v>715</v>
      </c>
      <c r="AU567" s="38"/>
      <c r="AV567" s="38"/>
      <c r="AW567" s="38"/>
      <c r="AX567" s="38"/>
    </row>
    <row r="568" spans="45:50">
      <c r="AS568" s="40" t="s">
        <v>706</v>
      </c>
      <c r="AT568" s="41" t="s">
        <v>716</v>
      </c>
      <c r="AU568" s="38"/>
      <c r="AV568" s="38"/>
      <c r="AW568" s="38"/>
      <c r="AX568" s="38"/>
    </row>
    <row r="569" spans="45:50">
      <c r="AS569" s="40" t="s">
        <v>706</v>
      </c>
      <c r="AT569" s="41" t="s">
        <v>717</v>
      </c>
      <c r="AU569" s="38"/>
      <c r="AV569" s="38"/>
      <c r="AW569" s="38"/>
      <c r="AX569" s="38"/>
    </row>
    <row r="570" spans="45:50">
      <c r="AS570" s="40" t="s">
        <v>706</v>
      </c>
      <c r="AT570" s="41" t="s">
        <v>718</v>
      </c>
      <c r="AU570" s="38"/>
      <c r="AV570" s="38"/>
      <c r="AW570" s="38"/>
      <c r="AX570" s="38"/>
    </row>
    <row r="571" spans="45:50">
      <c r="AS571" s="40" t="s">
        <v>706</v>
      </c>
      <c r="AT571" s="41" t="s">
        <v>719</v>
      </c>
      <c r="AU571" s="38"/>
      <c r="AV571" s="38"/>
      <c r="AW571" s="38"/>
      <c r="AX571" s="38"/>
    </row>
    <row r="572" spans="45:50">
      <c r="AS572" s="40" t="s">
        <v>706</v>
      </c>
      <c r="AT572" s="41" t="s">
        <v>720</v>
      </c>
      <c r="AU572" s="38"/>
      <c r="AV572" s="38"/>
      <c r="AW572" s="38"/>
      <c r="AX572" s="38"/>
    </row>
    <row r="573" spans="45:50">
      <c r="AS573" s="40" t="s">
        <v>706</v>
      </c>
      <c r="AT573" s="41" t="s">
        <v>721</v>
      </c>
      <c r="AU573" s="38"/>
      <c r="AV573" s="38"/>
      <c r="AW573" s="38"/>
      <c r="AX573" s="38"/>
    </row>
    <row r="574" spans="45:50">
      <c r="AS574" s="40" t="s">
        <v>706</v>
      </c>
      <c r="AT574" s="41" t="s">
        <v>722</v>
      </c>
      <c r="AU574" s="38"/>
      <c r="AV574" s="38"/>
      <c r="AW574" s="38"/>
      <c r="AX574" s="38"/>
    </row>
    <row r="575" spans="45:50">
      <c r="AS575" s="40" t="s">
        <v>706</v>
      </c>
      <c r="AT575" s="41" t="s">
        <v>723</v>
      </c>
      <c r="AU575" s="38"/>
      <c r="AV575" s="38"/>
      <c r="AW575" s="38"/>
      <c r="AX575" s="38"/>
    </row>
    <row r="576" spans="45:50">
      <c r="AS576" s="40" t="s">
        <v>706</v>
      </c>
      <c r="AT576" s="41" t="s">
        <v>724</v>
      </c>
      <c r="AU576" s="38"/>
      <c r="AV576" s="38"/>
      <c r="AW576" s="38"/>
      <c r="AX576" s="38"/>
    </row>
    <row r="577" spans="45:50">
      <c r="AS577" s="40" t="s">
        <v>706</v>
      </c>
      <c r="AT577" s="41" t="s">
        <v>725</v>
      </c>
      <c r="AU577" s="38"/>
      <c r="AV577" s="38"/>
      <c r="AW577" s="38"/>
      <c r="AX577" s="38"/>
    </row>
    <row r="578" spans="45:50">
      <c r="AS578" s="40" t="s">
        <v>706</v>
      </c>
      <c r="AT578" s="41" t="s">
        <v>726</v>
      </c>
      <c r="AU578" s="38"/>
      <c r="AV578" s="38"/>
      <c r="AW578" s="38"/>
      <c r="AX578" s="38"/>
    </row>
    <row r="579" spans="45:50">
      <c r="AS579" s="40" t="s">
        <v>706</v>
      </c>
      <c r="AT579" s="41" t="s">
        <v>727</v>
      </c>
      <c r="AU579" s="38"/>
      <c r="AV579" s="38"/>
      <c r="AW579" s="38"/>
      <c r="AX579" s="38"/>
    </row>
    <row r="580" spans="45:50">
      <c r="AS580" s="40" t="s">
        <v>706</v>
      </c>
      <c r="AT580" s="41" t="s">
        <v>728</v>
      </c>
      <c r="AU580" s="38"/>
      <c r="AV580" s="38"/>
      <c r="AW580" s="38"/>
      <c r="AX580" s="38"/>
    </row>
    <row r="581" spans="45:50">
      <c r="AS581" s="40" t="s">
        <v>706</v>
      </c>
      <c r="AT581" s="41" t="s">
        <v>729</v>
      </c>
      <c r="AU581" s="38"/>
      <c r="AV581" s="38"/>
      <c r="AW581" s="38"/>
      <c r="AX581" s="38"/>
    </row>
    <row r="582" spans="45:50">
      <c r="AS582" s="40" t="s">
        <v>706</v>
      </c>
      <c r="AT582" s="41" t="s">
        <v>730</v>
      </c>
      <c r="AU582" s="38"/>
      <c r="AV582" s="38"/>
      <c r="AW582" s="38"/>
      <c r="AX582" s="38"/>
    </row>
    <row r="583" spans="45:50">
      <c r="AS583" s="40" t="s">
        <v>706</v>
      </c>
      <c r="AT583" s="41" t="s">
        <v>731</v>
      </c>
      <c r="AU583" s="38"/>
      <c r="AV583" s="38"/>
      <c r="AW583" s="38"/>
      <c r="AX583" s="38"/>
    </row>
    <row r="584" spans="45:50">
      <c r="AS584" s="40" t="s">
        <v>706</v>
      </c>
      <c r="AT584" s="41" t="s">
        <v>732</v>
      </c>
      <c r="AU584" s="38"/>
      <c r="AV584" s="38"/>
      <c r="AW584" s="38"/>
      <c r="AX584" s="38"/>
    </row>
    <row r="585" spans="45:50">
      <c r="AS585" s="40" t="s">
        <v>706</v>
      </c>
      <c r="AT585" s="41" t="s">
        <v>733</v>
      </c>
      <c r="AU585" s="38"/>
      <c r="AV585" s="38"/>
      <c r="AW585" s="38"/>
      <c r="AX585" s="38"/>
    </row>
    <row r="586" spans="45:50">
      <c r="AS586" s="40" t="s">
        <v>706</v>
      </c>
      <c r="AT586" s="41" t="s">
        <v>734</v>
      </c>
      <c r="AU586" s="38"/>
      <c r="AV586" s="38"/>
      <c r="AW586" s="38"/>
      <c r="AX586" s="38"/>
    </row>
    <row r="587" spans="45:50">
      <c r="AS587" s="40" t="s">
        <v>706</v>
      </c>
      <c r="AT587" s="41" t="s">
        <v>735</v>
      </c>
      <c r="AU587" s="38"/>
      <c r="AV587" s="38"/>
      <c r="AW587" s="38"/>
      <c r="AX587" s="38"/>
    </row>
    <row r="588" spans="45:50">
      <c r="AS588" s="40" t="s">
        <v>706</v>
      </c>
      <c r="AT588" s="41" t="s">
        <v>736</v>
      </c>
      <c r="AU588" s="38"/>
      <c r="AV588" s="38"/>
      <c r="AW588" s="38"/>
      <c r="AX588" s="38"/>
    </row>
    <row r="589" spans="45:50">
      <c r="AS589" s="40" t="s">
        <v>706</v>
      </c>
      <c r="AT589" s="41" t="s">
        <v>737</v>
      </c>
      <c r="AU589" s="38"/>
      <c r="AV589" s="38"/>
      <c r="AW589" s="38"/>
      <c r="AX589" s="38"/>
    </row>
    <row r="590" spans="45:50">
      <c r="AS590" s="40" t="s">
        <v>706</v>
      </c>
      <c r="AT590" s="41" t="s">
        <v>738</v>
      </c>
      <c r="AU590" s="38"/>
      <c r="AV590" s="38"/>
      <c r="AW590" s="38"/>
      <c r="AX590" s="38"/>
    </row>
    <row r="591" spans="45:50">
      <c r="AS591" s="40" t="s">
        <v>739</v>
      </c>
      <c r="AT591" s="41" t="s">
        <v>740</v>
      </c>
      <c r="AU591" s="38"/>
      <c r="AV591" s="38"/>
      <c r="AW591" s="38"/>
      <c r="AX591" s="38"/>
    </row>
    <row r="592" spans="45:50">
      <c r="AS592" s="40" t="s">
        <v>739</v>
      </c>
      <c r="AT592" s="41" t="s">
        <v>741</v>
      </c>
      <c r="AU592" s="38"/>
      <c r="AV592" s="38"/>
      <c r="AW592" s="38"/>
      <c r="AX592" s="38"/>
    </row>
    <row r="593" spans="45:50">
      <c r="AS593" s="40" t="s">
        <v>739</v>
      </c>
      <c r="AT593" s="41" t="s">
        <v>742</v>
      </c>
      <c r="AU593" s="38"/>
      <c r="AV593" s="38"/>
      <c r="AW593" s="38"/>
      <c r="AX593" s="38"/>
    </row>
    <row r="594" spans="45:50">
      <c r="AS594" s="40" t="s">
        <v>739</v>
      </c>
      <c r="AT594" s="41" t="s">
        <v>743</v>
      </c>
      <c r="AU594" s="38"/>
      <c r="AV594" s="38"/>
      <c r="AW594" s="38"/>
      <c r="AX594" s="38"/>
    </row>
    <row r="595" spans="45:50">
      <c r="AS595" s="40" t="s">
        <v>739</v>
      </c>
      <c r="AT595" s="41" t="s">
        <v>744</v>
      </c>
      <c r="AU595" s="38"/>
      <c r="AV595" s="38"/>
      <c r="AW595" s="38"/>
      <c r="AX595" s="38"/>
    </row>
    <row r="596" spans="45:50">
      <c r="AS596" s="40" t="s">
        <v>739</v>
      </c>
      <c r="AT596" s="41" t="s">
        <v>745</v>
      </c>
      <c r="AU596" s="38"/>
      <c r="AV596" s="38"/>
      <c r="AW596" s="38"/>
      <c r="AX596" s="38"/>
    </row>
    <row r="597" spans="45:50">
      <c r="AS597" s="40" t="s">
        <v>739</v>
      </c>
      <c r="AT597" s="41" t="s">
        <v>746</v>
      </c>
      <c r="AU597" s="38"/>
      <c r="AV597" s="38"/>
      <c r="AW597" s="38"/>
      <c r="AX597" s="38"/>
    </row>
    <row r="598" spans="45:50">
      <c r="AS598" s="40" t="s">
        <v>739</v>
      </c>
      <c r="AT598" s="56" t="s">
        <v>747</v>
      </c>
      <c r="AU598" s="38"/>
      <c r="AV598" s="38"/>
      <c r="AW598" s="38"/>
      <c r="AX598" s="38"/>
    </row>
    <row r="599" spans="45:50">
      <c r="AS599" s="40" t="s">
        <v>739</v>
      </c>
      <c r="AT599" s="41" t="s">
        <v>748</v>
      </c>
      <c r="AU599" s="38"/>
      <c r="AV599" s="38"/>
      <c r="AW599" s="38"/>
      <c r="AX599" s="38"/>
    </row>
    <row r="600" spans="45:50">
      <c r="AS600" s="40" t="s">
        <v>739</v>
      </c>
      <c r="AT600" s="41" t="s">
        <v>749</v>
      </c>
      <c r="AU600" s="38"/>
      <c r="AV600" s="38"/>
      <c r="AW600" s="38"/>
      <c r="AX600" s="38"/>
    </row>
    <row r="601" spans="45:50">
      <c r="AS601" s="40" t="s">
        <v>739</v>
      </c>
      <c r="AT601" s="41" t="s">
        <v>750</v>
      </c>
      <c r="AU601" s="38"/>
      <c r="AV601" s="38"/>
      <c r="AW601" s="38"/>
      <c r="AX601" s="38"/>
    </row>
    <row r="602" spans="45:50">
      <c r="AS602" s="40" t="s">
        <v>739</v>
      </c>
      <c r="AT602" s="41" t="s">
        <v>751</v>
      </c>
      <c r="AU602" s="38"/>
      <c r="AV602" s="38"/>
      <c r="AW602" s="38"/>
      <c r="AX602" s="38"/>
    </row>
    <row r="603" spans="45:50">
      <c r="AS603" s="40" t="s">
        <v>739</v>
      </c>
      <c r="AT603" s="41" t="s">
        <v>752</v>
      </c>
      <c r="AU603" s="38"/>
      <c r="AV603" s="38"/>
      <c r="AW603" s="38"/>
      <c r="AX603" s="38"/>
    </row>
    <row r="604" spans="45:50">
      <c r="AS604" s="40" t="s">
        <v>739</v>
      </c>
      <c r="AT604" s="41" t="s">
        <v>753</v>
      </c>
      <c r="AU604" s="38"/>
      <c r="AV604" s="38"/>
      <c r="AW604" s="38"/>
      <c r="AX604" s="38"/>
    </row>
    <row r="605" spans="45:50">
      <c r="AS605" s="40" t="s">
        <v>739</v>
      </c>
      <c r="AT605" s="41" t="s">
        <v>754</v>
      </c>
      <c r="AU605" s="38"/>
      <c r="AV605" s="38"/>
      <c r="AW605" s="38"/>
      <c r="AX605" s="38"/>
    </row>
    <row r="606" spans="45:50">
      <c r="AS606" s="40" t="s">
        <v>739</v>
      </c>
      <c r="AT606" s="41" t="s">
        <v>755</v>
      </c>
      <c r="AU606" s="38"/>
      <c r="AV606" s="38"/>
      <c r="AW606" s="38"/>
      <c r="AX606" s="38"/>
    </row>
    <row r="607" spans="45:50">
      <c r="AS607" s="40" t="s">
        <v>739</v>
      </c>
      <c r="AT607" s="41" t="s">
        <v>756</v>
      </c>
      <c r="AU607" s="38"/>
      <c r="AV607" s="38"/>
      <c r="AW607" s="38"/>
      <c r="AX607" s="38"/>
    </row>
    <row r="608" spans="45:50">
      <c r="AS608" s="40" t="s">
        <v>739</v>
      </c>
      <c r="AT608" s="41" t="s">
        <v>757</v>
      </c>
      <c r="AU608" s="38"/>
      <c r="AV608" s="38"/>
      <c r="AW608" s="38"/>
      <c r="AX608" s="38"/>
    </row>
    <row r="609" spans="45:50">
      <c r="AS609" s="40" t="s">
        <v>739</v>
      </c>
      <c r="AT609" s="41" t="s">
        <v>758</v>
      </c>
      <c r="AU609" s="38"/>
      <c r="AV609" s="38"/>
      <c r="AW609" s="38"/>
      <c r="AX609" s="38"/>
    </row>
    <row r="610" spans="45:50">
      <c r="AS610" s="40" t="s">
        <v>739</v>
      </c>
      <c r="AT610" s="41" t="s">
        <v>759</v>
      </c>
      <c r="AU610" s="38"/>
      <c r="AV610" s="38"/>
      <c r="AW610" s="38"/>
      <c r="AX610" s="38"/>
    </row>
    <row r="611" spans="45:50">
      <c r="AS611" s="40" t="s">
        <v>739</v>
      </c>
      <c r="AT611" s="41" t="s">
        <v>760</v>
      </c>
      <c r="AU611" s="38"/>
      <c r="AV611" s="38"/>
      <c r="AW611" s="38"/>
      <c r="AX611" s="38"/>
    </row>
    <row r="612" spans="45:50">
      <c r="AS612" s="40" t="s">
        <v>739</v>
      </c>
      <c r="AT612" s="41" t="s">
        <v>761</v>
      </c>
      <c r="AU612" s="38"/>
      <c r="AV612" s="38"/>
      <c r="AW612" s="38"/>
      <c r="AX612" s="38"/>
    </row>
    <row r="613" spans="45:50">
      <c r="AS613" s="40" t="s">
        <v>739</v>
      </c>
      <c r="AT613" s="41" t="s">
        <v>762</v>
      </c>
      <c r="AU613" s="38"/>
      <c r="AV613" s="38"/>
      <c r="AW613" s="38"/>
      <c r="AX613" s="38"/>
    </row>
    <row r="614" spans="45:50">
      <c r="AS614" s="40" t="s">
        <v>739</v>
      </c>
      <c r="AT614" s="41" t="s">
        <v>763</v>
      </c>
      <c r="AU614" s="38"/>
      <c r="AV614" s="38"/>
      <c r="AW614" s="38"/>
      <c r="AX614" s="38"/>
    </row>
    <row r="615" spans="45:50">
      <c r="AS615" s="40" t="s">
        <v>739</v>
      </c>
      <c r="AT615" s="41" t="s">
        <v>764</v>
      </c>
      <c r="AU615" s="38"/>
      <c r="AV615" s="38"/>
      <c r="AW615" s="38"/>
      <c r="AX615" s="38"/>
    </row>
    <row r="616" spans="45:50">
      <c r="AS616" s="40" t="s">
        <v>739</v>
      </c>
      <c r="AT616" s="41" t="s">
        <v>765</v>
      </c>
      <c r="AU616" s="38"/>
      <c r="AV616" s="38"/>
      <c r="AW616" s="38"/>
      <c r="AX616" s="38"/>
    </row>
    <row r="617" spans="45:50">
      <c r="AS617" s="40" t="s">
        <v>739</v>
      </c>
      <c r="AT617" s="41" t="s">
        <v>766</v>
      </c>
      <c r="AU617" s="38"/>
      <c r="AV617" s="38"/>
      <c r="AW617" s="38"/>
      <c r="AX617" s="38"/>
    </row>
    <row r="618" spans="45:50">
      <c r="AS618" s="40" t="s">
        <v>739</v>
      </c>
      <c r="AT618" s="41" t="s">
        <v>767</v>
      </c>
      <c r="AU618" s="38"/>
      <c r="AV618" s="38"/>
      <c r="AW618" s="38"/>
      <c r="AX618" s="38"/>
    </row>
    <row r="619" spans="45:50">
      <c r="AS619" s="40" t="s">
        <v>739</v>
      </c>
      <c r="AT619" s="41" t="s">
        <v>768</v>
      </c>
      <c r="AU619" s="38"/>
      <c r="AV619" s="38"/>
      <c r="AW619" s="38"/>
      <c r="AX619" s="38"/>
    </row>
    <row r="620" spans="45:50">
      <c r="AS620" s="40" t="s">
        <v>739</v>
      </c>
      <c r="AT620" s="41" t="s">
        <v>769</v>
      </c>
      <c r="AU620" s="38"/>
      <c r="AV620" s="38"/>
      <c r="AW620" s="38"/>
      <c r="AX620" s="38"/>
    </row>
    <row r="621" spans="45:50">
      <c r="AS621" s="40" t="s">
        <v>739</v>
      </c>
      <c r="AT621" s="57" t="s">
        <v>770</v>
      </c>
      <c r="AU621" s="38"/>
      <c r="AV621" s="38"/>
      <c r="AW621" s="38"/>
      <c r="AX621" s="38"/>
    </row>
    <row r="622" spans="45:50">
      <c r="AS622" s="40" t="s">
        <v>771</v>
      </c>
      <c r="AT622" s="41" t="s">
        <v>772</v>
      </c>
      <c r="AU622" s="38"/>
      <c r="AV622" s="38"/>
      <c r="AW622" s="38"/>
      <c r="AX622" s="38"/>
    </row>
    <row r="623" spans="45:50">
      <c r="AS623" s="40" t="s">
        <v>771</v>
      </c>
      <c r="AT623" s="41" t="s">
        <v>773</v>
      </c>
      <c r="AU623" s="38"/>
      <c r="AV623" s="38"/>
      <c r="AW623" s="38"/>
      <c r="AX623" s="38"/>
    </row>
    <row r="624" spans="45:50">
      <c r="AS624" s="40" t="s">
        <v>771</v>
      </c>
      <c r="AT624" s="41" t="s">
        <v>774</v>
      </c>
      <c r="AU624" s="38"/>
      <c r="AV624" s="38"/>
      <c r="AW624" s="38"/>
      <c r="AX624" s="38"/>
    </row>
    <row r="625" spans="45:50">
      <c r="AS625" s="40" t="s">
        <v>771</v>
      </c>
      <c r="AT625" s="41" t="s">
        <v>775</v>
      </c>
      <c r="AU625" s="38"/>
      <c r="AV625" s="38"/>
      <c r="AW625" s="38"/>
      <c r="AX625" s="38"/>
    </row>
    <row r="626" spans="45:50">
      <c r="AS626" s="40" t="s">
        <v>771</v>
      </c>
      <c r="AT626" s="41" t="s">
        <v>776</v>
      </c>
      <c r="AU626" s="38"/>
      <c r="AV626" s="38"/>
      <c r="AW626" s="38"/>
      <c r="AX626" s="38"/>
    </row>
    <row r="627" spans="45:50">
      <c r="AS627" s="40" t="s">
        <v>771</v>
      </c>
      <c r="AT627" s="41" t="s">
        <v>777</v>
      </c>
      <c r="AU627" s="38"/>
      <c r="AV627" s="38"/>
      <c r="AW627" s="38"/>
      <c r="AX627" s="38"/>
    </row>
    <row r="628" spans="45:50">
      <c r="AS628" s="40" t="s">
        <v>771</v>
      </c>
      <c r="AT628" s="41" t="s">
        <v>778</v>
      </c>
      <c r="AU628" s="38"/>
      <c r="AV628" s="38"/>
      <c r="AW628" s="38"/>
      <c r="AX628" s="38"/>
    </row>
    <row r="629" spans="45:50">
      <c r="AS629" s="40" t="s">
        <v>771</v>
      </c>
      <c r="AT629" s="41" t="s">
        <v>779</v>
      </c>
      <c r="AU629" s="38"/>
      <c r="AV629" s="38"/>
      <c r="AW629" s="38"/>
      <c r="AX629" s="38"/>
    </row>
    <row r="630" spans="45:50">
      <c r="AS630" s="40" t="s">
        <v>780</v>
      </c>
      <c r="AT630" s="41" t="s">
        <v>781</v>
      </c>
      <c r="AU630" s="38"/>
      <c r="AV630" s="38"/>
      <c r="AW630" s="38"/>
      <c r="AX630" s="38"/>
    </row>
    <row r="631" spans="45:50">
      <c r="AS631" s="40" t="s">
        <v>780</v>
      </c>
      <c r="AT631" s="41" t="s">
        <v>782</v>
      </c>
      <c r="AU631" s="38"/>
      <c r="AV631" s="38"/>
      <c r="AW631" s="38"/>
      <c r="AX631" s="38"/>
    </row>
    <row r="632" spans="45:50">
      <c r="AS632" s="40" t="s">
        <v>780</v>
      </c>
      <c r="AT632" s="41" t="s">
        <v>783</v>
      </c>
      <c r="AU632" s="38"/>
      <c r="AV632" s="38"/>
      <c r="AW632" s="38"/>
      <c r="AX632" s="38"/>
    </row>
    <row r="633" spans="45:50">
      <c r="AS633" s="40" t="s">
        <v>780</v>
      </c>
      <c r="AT633" s="41" t="s">
        <v>784</v>
      </c>
      <c r="AU633" s="38"/>
      <c r="AV633" s="38"/>
      <c r="AW633" s="38"/>
      <c r="AX633" s="38"/>
    </row>
    <row r="634" spans="45:50">
      <c r="AS634" s="40" t="s">
        <v>780</v>
      </c>
      <c r="AT634" s="41" t="s">
        <v>785</v>
      </c>
      <c r="AU634" s="38"/>
      <c r="AV634" s="38"/>
      <c r="AW634" s="38"/>
      <c r="AX634" s="38"/>
    </row>
    <row r="635" spans="45:50">
      <c r="AS635" s="40" t="s">
        <v>780</v>
      </c>
      <c r="AT635" s="41" t="s">
        <v>786</v>
      </c>
      <c r="AU635" s="38"/>
      <c r="AV635" s="38"/>
      <c r="AW635" s="38"/>
      <c r="AX635" s="38"/>
    </row>
    <row r="636" spans="45:50">
      <c r="AS636" s="40" t="s">
        <v>780</v>
      </c>
      <c r="AT636" s="41" t="s">
        <v>787</v>
      </c>
      <c r="AU636" s="38"/>
      <c r="AV636" s="38"/>
      <c r="AW636" s="38"/>
      <c r="AX636" s="38"/>
    </row>
    <row r="637" spans="45:50">
      <c r="AS637" s="40" t="s">
        <v>780</v>
      </c>
      <c r="AT637" s="41" t="s">
        <v>788</v>
      </c>
      <c r="AU637" s="38"/>
      <c r="AV637" s="38"/>
      <c r="AW637" s="38"/>
      <c r="AX637" s="38"/>
    </row>
    <row r="638" spans="45:50">
      <c r="AS638" s="40" t="s">
        <v>780</v>
      </c>
      <c r="AT638" s="41" t="s">
        <v>789</v>
      </c>
      <c r="AU638" s="38"/>
      <c r="AV638" s="38"/>
      <c r="AW638" s="38"/>
      <c r="AX638" s="38"/>
    </row>
    <row r="639" spans="45:50">
      <c r="AS639" s="40" t="s">
        <v>780</v>
      </c>
      <c r="AT639" s="41" t="s">
        <v>266</v>
      </c>
      <c r="AU639" s="38"/>
      <c r="AV639" s="38"/>
      <c r="AW639" s="38"/>
      <c r="AX639" s="38"/>
    </row>
    <row r="640" spans="45:50">
      <c r="AS640" s="40" t="s">
        <v>780</v>
      </c>
      <c r="AT640" s="41" t="s">
        <v>790</v>
      </c>
      <c r="AU640" s="38"/>
      <c r="AV640" s="38"/>
      <c r="AW640" s="38"/>
      <c r="AX640" s="38"/>
    </row>
    <row r="641" spans="45:50">
      <c r="AS641" s="40" t="s">
        <v>780</v>
      </c>
      <c r="AT641" s="41" t="s">
        <v>791</v>
      </c>
      <c r="AU641" s="38"/>
      <c r="AV641" s="38"/>
      <c r="AW641" s="38"/>
      <c r="AX641" s="38"/>
    </row>
    <row r="642" spans="45:50">
      <c r="AS642" s="40" t="s">
        <v>780</v>
      </c>
      <c r="AT642" s="41" t="s">
        <v>792</v>
      </c>
      <c r="AU642" s="38"/>
      <c r="AV642" s="38"/>
      <c r="AW642" s="38"/>
      <c r="AX642" s="38"/>
    </row>
    <row r="643" spans="45:50">
      <c r="AS643" s="40" t="s">
        <v>780</v>
      </c>
      <c r="AT643" s="41" t="s">
        <v>793</v>
      </c>
      <c r="AU643" s="38"/>
      <c r="AV643" s="38"/>
      <c r="AW643" s="38"/>
      <c r="AX643" s="38"/>
    </row>
    <row r="644" spans="45:50">
      <c r="AS644" s="40" t="s">
        <v>780</v>
      </c>
      <c r="AT644" s="41" t="s">
        <v>794</v>
      </c>
      <c r="AU644" s="38"/>
      <c r="AV644" s="38"/>
      <c r="AW644" s="38"/>
      <c r="AX644" s="38"/>
    </row>
    <row r="645" spans="45:50">
      <c r="AS645" s="40" t="s">
        <v>780</v>
      </c>
      <c r="AT645" s="41" t="s">
        <v>795</v>
      </c>
      <c r="AU645" s="38"/>
      <c r="AV645" s="38"/>
      <c r="AW645" s="38"/>
      <c r="AX645" s="38"/>
    </row>
    <row r="646" spans="45:50">
      <c r="AS646" s="40" t="s">
        <v>780</v>
      </c>
      <c r="AT646" s="41" t="s">
        <v>796</v>
      </c>
      <c r="AU646" s="38"/>
      <c r="AV646" s="38"/>
      <c r="AW646" s="38"/>
      <c r="AX646" s="38"/>
    </row>
    <row r="647" spans="45:50">
      <c r="AS647" s="40" t="s">
        <v>780</v>
      </c>
      <c r="AT647" s="41" t="s">
        <v>797</v>
      </c>
      <c r="AU647" s="38"/>
      <c r="AV647" s="38"/>
      <c r="AW647" s="38"/>
      <c r="AX647" s="38"/>
    </row>
    <row r="648" spans="45:50">
      <c r="AS648" s="40" t="s">
        <v>780</v>
      </c>
      <c r="AT648" s="41" t="s">
        <v>798</v>
      </c>
      <c r="AU648" s="38"/>
      <c r="AV648" s="38"/>
      <c r="AW648" s="38"/>
      <c r="AX648" s="38"/>
    </row>
    <row r="649" spans="45:50">
      <c r="AS649" s="40" t="s">
        <v>780</v>
      </c>
      <c r="AT649" s="41" t="s">
        <v>799</v>
      </c>
      <c r="AU649" s="38"/>
      <c r="AV649" s="38"/>
      <c r="AW649" s="38"/>
      <c r="AX649" s="38"/>
    </row>
    <row r="650" spans="45:50">
      <c r="AS650" s="40" t="s">
        <v>780</v>
      </c>
      <c r="AT650" s="41" t="s">
        <v>800</v>
      </c>
      <c r="AU650" s="38"/>
      <c r="AV650" s="38"/>
      <c r="AW650" s="38"/>
      <c r="AX650" s="38"/>
    </row>
    <row r="651" spans="45:50">
      <c r="AS651" s="40" t="s">
        <v>780</v>
      </c>
      <c r="AT651" s="41" t="s">
        <v>801</v>
      </c>
      <c r="AU651" s="38"/>
      <c r="AV651" s="38"/>
      <c r="AW651" s="38"/>
      <c r="AX651" s="38"/>
    </row>
    <row r="652" spans="45:50">
      <c r="AS652" s="40" t="s">
        <v>780</v>
      </c>
      <c r="AT652" s="41" t="s">
        <v>802</v>
      </c>
      <c r="AU652" s="38"/>
      <c r="AV652" s="38"/>
      <c r="AW652" s="38"/>
      <c r="AX652" s="38"/>
    </row>
    <row r="653" spans="45:50">
      <c r="AS653" s="40" t="s">
        <v>780</v>
      </c>
      <c r="AT653" s="41" t="s">
        <v>803</v>
      </c>
      <c r="AU653" s="38"/>
      <c r="AV653" s="38"/>
      <c r="AW653" s="38"/>
      <c r="AX653" s="38"/>
    </row>
    <row r="654" spans="45:50">
      <c r="AS654" s="40" t="s">
        <v>780</v>
      </c>
      <c r="AT654" s="41" t="s">
        <v>804</v>
      </c>
      <c r="AU654" s="38"/>
      <c r="AV654" s="38"/>
      <c r="AW654" s="38"/>
      <c r="AX654" s="38"/>
    </row>
    <row r="655" spans="45:50">
      <c r="AS655" s="40" t="s">
        <v>780</v>
      </c>
      <c r="AT655" s="41" t="s">
        <v>805</v>
      </c>
      <c r="AU655" s="38"/>
      <c r="AV655" s="38"/>
      <c r="AW655" s="38"/>
      <c r="AX655" s="38"/>
    </row>
    <row r="656" spans="45:50">
      <c r="AS656" s="40" t="s">
        <v>780</v>
      </c>
      <c r="AT656" s="41" t="s">
        <v>806</v>
      </c>
      <c r="AU656" s="38"/>
      <c r="AV656" s="38"/>
      <c r="AW656" s="38"/>
      <c r="AX656" s="38"/>
    </row>
    <row r="657" spans="45:50">
      <c r="AS657" s="40" t="s">
        <v>780</v>
      </c>
      <c r="AT657" s="41" t="s">
        <v>807</v>
      </c>
      <c r="AU657" s="38"/>
      <c r="AV657" s="38"/>
      <c r="AW657" s="38"/>
      <c r="AX657" s="38"/>
    </row>
    <row r="658" spans="45:50">
      <c r="AS658" s="40" t="s">
        <v>780</v>
      </c>
      <c r="AT658" s="41" t="s">
        <v>808</v>
      </c>
      <c r="AU658" s="38"/>
      <c r="AV658" s="38"/>
      <c r="AW658" s="38"/>
      <c r="AX658" s="38"/>
    </row>
    <row r="659" spans="45:50">
      <c r="AS659" s="40" t="s">
        <v>780</v>
      </c>
      <c r="AT659" s="41" t="s">
        <v>809</v>
      </c>
      <c r="AU659" s="38"/>
      <c r="AV659" s="38"/>
      <c r="AW659" s="38"/>
      <c r="AX659" s="38"/>
    </row>
    <row r="660" spans="45:50">
      <c r="AS660" s="40" t="s">
        <v>780</v>
      </c>
      <c r="AT660" s="41" t="s">
        <v>810</v>
      </c>
      <c r="AU660" s="38"/>
      <c r="AV660" s="38"/>
      <c r="AW660" s="38"/>
      <c r="AX660" s="38"/>
    </row>
    <row r="661" spans="45:50">
      <c r="AS661" s="40" t="s">
        <v>780</v>
      </c>
      <c r="AT661" s="41" t="s">
        <v>811</v>
      </c>
      <c r="AU661" s="38"/>
      <c r="AV661" s="38"/>
      <c r="AW661" s="38"/>
      <c r="AX661" s="38"/>
    </row>
    <row r="662" spans="45:50">
      <c r="AS662" s="40" t="s">
        <v>780</v>
      </c>
      <c r="AT662" s="41" t="s">
        <v>371</v>
      </c>
      <c r="AU662" s="38"/>
      <c r="AV662" s="38"/>
      <c r="AW662" s="38"/>
      <c r="AX662" s="38"/>
    </row>
    <row r="663" spans="45:50">
      <c r="AS663" s="40" t="s">
        <v>780</v>
      </c>
      <c r="AT663" s="41" t="s">
        <v>812</v>
      </c>
      <c r="AU663" s="38"/>
      <c r="AV663" s="38"/>
      <c r="AW663" s="38"/>
      <c r="AX663" s="38"/>
    </row>
    <row r="664" spans="45:50">
      <c r="AS664" s="40" t="s">
        <v>780</v>
      </c>
      <c r="AT664" s="41" t="s">
        <v>813</v>
      </c>
      <c r="AU664" s="38"/>
      <c r="AV664" s="38"/>
      <c r="AW664" s="38"/>
      <c r="AX664" s="38"/>
    </row>
    <row r="665" spans="45:50">
      <c r="AS665" s="40" t="s">
        <v>780</v>
      </c>
      <c r="AT665" s="41" t="s">
        <v>814</v>
      </c>
      <c r="AU665" s="38"/>
      <c r="AV665" s="38"/>
      <c r="AW665" s="38"/>
      <c r="AX665" s="38"/>
    </row>
    <row r="666" spans="45:50">
      <c r="AS666" s="40" t="s">
        <v>780</v>
      </c>
      <c r="AT666" s="41" t="s">
        <v>815</v>
      </c>
      <c r="AU666" s="38"/>
      <c r="AV666" s="38"/>
      <c r="AW666" s="38"/>
      <c r="AX666" s="38"/>
    </row>
    <row r="667" spans="45:50">
      <c r="AS667" s="40" t="s">
        <v>780</v>
      </c>
      <c r="AT667" s="41" t="s">
        <v>816</v>
      </c>
      <c r="AU667" s="38"/>
      <c r="AV667" s="38"/>
      <c r="AW667" s="38"/>
      <c r="AX667" s="38"/>
    </row>
    <row r="668" spans="45:50">
      <c r="AS668" s="40" t="s">
        <v>780</v>
      </c>
      <c r="AT668" s="41" t="s">
        <v>817</v>
      </c>
      <c r="AU668" s="38"/>
      <c r="AV668" s="38"/>
      <c r="AW668" s="38"/>
      <c r="AX668" s="38"/>
    </row>
    <row r="669" spans="45:50">
      <c r="AS669" s="40" t="s">
        <v>780</v>
      </c>
      <c r="AT669" s="41" t="s">
        <v>818</v>
      </c>
      <c r="AU669" s="38"/>
      <c r="AV669" s="38"/>
      <c r="AW669" s="38"/>
      <c r="AX669" s="38"/>
    </row>
    <row r="670" spans="45:50">
      <c r="AS670" s="40" t="s">
        <v>780</v>
      </c>
      <c r="AT670" s="41" t="s">
        <v>819</v>
      </c>
      <c r="AU670" s="38"/>
      <c r="AV670" s="38"/>
      <c r="AW670" s="38"/>
      <c r="AX670" s="38"/>
    </row>
    <row r="671" spans="45:50">
      <c r="AS671" s="40" t="s">
        <v>780</v>
      </c>
      <c r="AT671" s="41" t="s">
        <v>820</v>
      </c>
      <c r="AU671" s="38"/>
      <c r="AV671" s="38"/>
      <c r="AW671" s="38"/>
      <c r="AX671" s="38"/>
    </row>
    <row r="672" spans="45:50">
      <c r="AS672" s="40" t="s">
        <v>780</v>
      </c>
      <c r="AT672" s="41" t="s">
        <v>821</v>
      </c>
      <c r="AU672" s="38"/>
      <c r="AV672" s="38"/>
      <c r="AW672" s="38"/>
      <c r="AX672" s="38"/>
    </row>
    <row r="673" spans="45:50">
      <c r="AS673" s="40" t="s">
        <v>780</v>
      </c>
      <c r="AT673" s="41" t="s">
        <v>822</v>
      </c>
      <c r="AU673" s="38"/>
      <c r="AV673" s="38"/>
      <c r="AW673" s="38"/>
      <c r="AX673" s="38"/>
    </row>
    <row r="674" spans="45:50">
      <c r="AS674" s="40" t="s">
        <v>780</v>
      </c>
      <c r="AT674" s="41" t="s">
        <v>823</v>
      </c>
      <c r="AU674" s="38"/>
      <c r="AV674" s="38"/>
      <c r="AW674" s="38"/>
      <c r="AX674" s="38"/>
    </row>
    <row r="675" spans="45:50">
      <c r="AS675" s="40" t="s">
        <v>780</v>
      </c>
      <c r="AT675" s="41" t="s">
        <v>824</v>
      </c>
      <c r="AU675" s="38"/>
      <c r="AV675" s="38"/>
      <c r="AW675" s="38"/>
      <c r="AX675" s="38"/>
    </row>
    <row r="676" spans="45:50">
      <c r="AS676" s="40" t="s">
        <v>780</v>
      </c>
      <c r="AT676" s="41" t="s">
        <v>825</v>
      </c>
      <c r="AU676" s="38"/>
      <c r="AV676" s="38"/>
      <c r="AW676" s="38"/>
      <c r="AX676" s="38"/>
    </row>
    <row r="677" spans="45:50">
      <c r="AS677" s="40" t="s">
        <v>780</v>
      </c>
      <c r="AT677" s="41" t="s">
        <v>826</v>
      </c>
      <c r="AU677" s="38"/>
      <c r="AV677" s="38"/>
      <c r="AW677" s="38"/>
      <c r="AX677" s="38"/>
    </row>
    <row r="678" spans="45:50">
      <c r="AS678" s="40" t="s">
        <v>780</v>
      </c>
      <c r="AT678" s="41" t="s">
        <v>827</v>
      </c>
      <c r="AU678" s="38"/>
      <c r="AV678" s="38"/>
      <c r="AW678" s="38"/>
      <c r="AX678" s="38"/>
    </row>
    <row r="679" spans="45:50">
      <c r="AS679" s="40" t="s">
        <v>780</v>
      </c>
      <c r="AT679" s="41" t="s">
        <v>828</v>
      </c>
      <c r="AU679" s="38"/>
      <c r="AV679" s="38"/>
      <c r="AW679" s="38"/>
      <c r="AX679" s="38"/>
    </row>
    <row r="680" spans="45:50">
      <c r="AS680" s="40" t="s">
        <v>780</v>
      </c>
      <c r="AT680" s="41" t="s">
        <v>829</v>
      </c>
      <c r="AU680" s="38"/>
      <c r="AV680" s="38"/>
      <c r="AW680" s="38"/>
      <c r="AX680" s="38"/>
    </row>
    <row r="681" spans="45:50">
      <c r="AS681" s="40" t="s">
        <v>780</v>
      </c>
      <c r="AT681" s="41" t="s">
        <v>830</v>
      </c>
      <c r="AU681" s="38"/>
      <c r="AV681" s="38"/>
      <c r="AW681" s="38"/>
      <c r="AX681" s="38"/>
    </row>
    <row r="682" spans="45:50">
      <c r="AS682" s="40" t="s">
        <v>780</v>
      </c>
      <c r="AT682" s="41" t="s">
        <v>831</v>
      </c>
      <c r="AU682" s="38"/>
      <c r="AV682" s="38"/>
      <c r="AW682" s="38"/>
      <c r="AX682" s="38"/>
    </row>
    <row r="683" spans="45:50">
      <c r="AS683" s="40" t="s">
        <v>780</v>
      </c>
      <c r="AT683" s="41" t="s">
        <v>832</v>
      </c>
      <c r="AU683" s="38"/>
      <c r="AV683" s="38"/>
      <c r="AW683" s="38"/>
      <c r="AX683" s="38"/>
    </row>
    <row r="684" spans="45:50">
      <c r="AS684" s="40" t="s">
        <v>780</v>
      </c>
      <c r="AT684" s="41" t="s">
        <v>833</v>
      </c>
      <c r="AU684" s="38"/>
      <c r="AV684" s="38"/>
      <c r="AW684" s="38"/>
      <c r="AX684" s="38"/>
    </row>
    <row r="685" spans="45:50">
      <c r="AS685" s="40" t="s">
        <v>780</v>
      </c>
      <c r="AT685" s="41" t="s">
        <v>834</v>
      </c>
      <c r="AU685" s="38"/>
      <c r="AV685" s="38"/>
      <c r="AW685" s="38"/>
      <c r="AX685" s="38"/>
    </row>
    <row r="686" spans="45:50">
      <c r="AS686" s="40" t="s">
        <v>780</v>
      </c>
      <c r="AT686" s="41" t="s">
        <v>835</v>
      </c>
      <c r="AU686" s="38"/>
      <c r="AV686" s="38"/>
      <c r="AW686" s="38"/>
      <c r="AX686" s="38"/>
    </row>
    <row r="687" spans="45:50">
      <c r="AS687" s="40" t="s">
        <v>780</v>
      </c>
      <c r="AT687" s="41" t="s">
        <v>836</v>
      </c>
      <c r="AU687" s="38"/>
      <c r="AV687" s="38"/>
      <c r="AW687" s="38"/>
      <c r="AX687" s="38"/>
    </row>
    <row r="688" spans="45:50">
      <c r="AS688" s="40" t="s">
        <v>780</v>
      </c>
      <c r="AT688" s="41" t="s">
        <v>837</v>
      </c>
      <c r="AU688" s="38"/>
      <c r="AV688" s="38"/>
      <c r="AW688" s="38"/>
      <c r="AX688" s="38"/>
    </row>
    <row r="689" spans="45:50">
      <c r="AS689" s="40" t="s">
        <v>780</v>
      </c>
      <c r="AT689" s="41" t="s">
        <v>698</v>
      </c>
      <c r="AU689" s="38"/>
      <c r="AV689" s="38"/>
      <c r="AW689" s="38"/>
      <c r="AX689" s="38"/>
    </row>
    <row r="690" spans="45:50">
      <c r="AS690" s="40" t="s">
        <v>780</v>
      </c>
      <c r="AT690" s="41" t="s">
        <v>838</v>
      </c>
      <c r="AU690" s="38"/>
      <c r="AV690" s="38"/>
      <c r="AW690" s="38"/>
      <c r="AX690" s="38"/>
    </row>
    <row r="691" spans="45:50">
      <c r="AS691" s="40" t="s">
        <v>780</v>
      </c>
      <c r="AT691" s="41" t="s">
        <v>839</v>
      </c>
      <c r="AU691" s="38"/>
      <c r="AV691" s="38"/>
      <c r="AW691" s="38"/>
      <c r="AX691" s="38"/>
    </row>
    <row r="692" spans="45:50">
      <c r="AS692" s="40" t="s">
        <v>780</v>
      </c>
      <c r="AT692" s="41" t="s">
        <v>840</v>
      </c>
      <c r="AU692" s="38"/>
      <c r="AV692" s="38"/>
      <c r="AW692" s="38"/>
      <c r="AX692" s="38"/>
    </row>
    <row r="693" spans="45:50">
      <c r="AS693" s="40" t="s">
        <v>780</v>
      </c>
      <c r="AT693" s="41" t="s">
        <v>841</v>
      </c>
      <c r="AU693" s="38"/>
      <c r="AV693" s="38"/>
      <c r="AW693" s="38"/>
      <c r="AX693" s="38"/>
    </row>
    <row r="694" spans="45:50">
      <c r="AS694" s="40" t="s">
        <v>780</v>
      </c>
      <c r="AT694" s="41" t="s">
        <v>842</v>
      </c>
      <c r="AU694" s="38"/>
      <c r="AV694" s="38"/>
      <c r="AW694" s="38"/>
      <c r="AX694" s="38"/>
    </row>
    <row r="695" spans="45:50">
      <c r="AS695" s="40" t="s">
        <v>780</v>
      </c>
      <c r="AT695" s="41" t="s">
        <v>843</v>
      </c>
      <c r="AU695" s="38"/>
      <c r="AV695" s="38"/>
      <c r="AW695" s="38"/>
      <c r="AX695" s="38"/>
    </row>
    <row r="696" spans="45:50">
      <c r="AS696" s="40" t="s">
        <v>780</v>
      </c>
      <c r="AT696" s="41" t="s">
        <v>844</v>
      </c>
      <c r="AU696" s="38"/>
      <c r="AV696" s="38"/>
      <c r="AW696" s="38"/>
      <c r="AX696" s="38"/>
    </row>
    <row r="697" spans="45:50">
      <c r="AS697" s="40" t="s">
        <v>780</v>
      </c>
      <c r="AT697" s="41" t="s">
        <v>845</v>
      </c>
      <c r="AU697" s="38"/>
      <c r="AV697" s="38"/>
      <c r="AW697" s="38"/>
      <c r="AX697" s="38"/>
    </row>
    <row r="698" spans="45:50">
      <c r="AS698" s="40" t="s">
        <v>780</v>
      </c>
      <c r="AT698" s="41" t="s">
        <v>846</v>
      </c>
      <c r="AU698" s="38"/>
      <c r="AV698" s="38"/>
      <c r="AW698" s="38"/>
      <c r="AX698" s="38"/>
    </row>
    <row r="699" spans="45:50">
      <c r="AS699" s="40" t="s">
        <v>780</v>
      </c>
      <c r="AT699" s="41" t="s">
        <v>847</v>
      </c>
      <c r="AU699" s="38"/>
      <c r="AV699" s="38"/>
      <c r="AW699" s="38"/>
      <c r="AX699" s="38"/>
    </row>
    <row r="700" spans="45:50">
      <c r="AS700" s="40" t="s">
        <v>780</v>
      </c>
      <c r="AT700" s="41" t="s">
        <v>848</v>
      </c>
      <c r="AU700" s="38"/>
      <c r="AV700" s="38"/>
      <c r="AW700" s="38"/>
      <c r="AX700" s="38"/>
    </row>
    <row r="701" spans="45:50">
      <c r="AS701" s="40" t="s">
        <v>780</v>
      </c>
      <c r="AT701" s="41" t="s">
        <v>849</v>
      </c>
      <c r="AU701" s="38"/>
      <c r="AV701" s="38"/>
      <c r="AW701" s="38"/>
      <c r="AX701" s="38"/>
    </row>
    <row r="702" spans="45:50">
      <c r="AS702" s="40" t="s">
        <v>780</v>
      </c>
      <c r="AT702" s="41" t="s">
        <v>850</v>
      </c>
      <c r="AU702" s="38"/>
      <c r="AV702" s="38"/>
      <c r="AW702" s="38"/>
      <c r="AX702" s="38"/>
    </row>
    <row r="703" spans="45:50">
      <c r="AS703" s="40" t="s">
        <v>780</v>
      </c>
      <c r="AT703" s="41" t="s">
        <v>851</v>
      </c>
      <c r="AU703" s="38"/>
      <c r="AV703" s="38"/>
      <c r="AW703" s="38"/>
      <c r="AX703" s="38"/>
    </row>
    <row r="704" spans="45:50">
      <c r="AS704" s="40" t="s">
        <v>780</v>
      </c>
      <c r="AT704" s="41" t="s">
        <v>852</v>
      </c>
      <c r="AU704" s="38"/>
      <c r="AV704" s="38"/>
      <c r="AW704" s="38"/>
      <c r="AX704" s="38"/>
    </row>
    <row r="705" spans="45:50">
      <c r="AS705" s="40" t="s">
        <v>853</v>
      </c>
      <c r="AT705" s="41" t="s">
        <v>854</v>
      </c>
      <c r="AU705" s="38"/>
      <c r="AV705" s="38"/>
      <c r="AW705" s="38"/>
      <c r="AX705" s="38"/>
    </row>
    <row r="706" spans="45:50">
      <c r="AS706" s="40" t="s">
        <v>853</v>
      </c>
      <c r="AT706" s="41" t="s">
        <v>855</v>
      </c>
      <c r="AU706" s="38"/>
      <c r="AV706" s="38"/>
      <c r="AW706" s="38"/>
      <c r="AX706" s="38"/>
    </row>
    <row r="707" spans="45:50">
      <c r="AS707" s="40" t="s">
        <v>853</v>
      </c>
      <c r="AT707" s="41" t="s">
        <v>856</v>
      </c>
      <c r="AU707" s="38"/>
      <c r="AV707" s="38"/>
      <c r="AW707" s="38"/>
      <c r="AX707" s="38"/>
    </row>
    <row r="708" spans="45:50">
      <c r="AS708" s="40" t="s">
        <v>853</v>
      </c>
      <c r="AT708" s="41" t="s">
        <v>857</v>
      </c>
      <c r="AU708" s="38"/>
      <c r="AV708" s="38"/>
      <c r="AW708" s="38"/>
      <c r="AX708" s="38"/>
    </row>
    <row r="709" spans="45:50">
      <c r="AS709" s="40" t="s">
        <v>853</v>
      </c>
      <c r="AT709" s="41" t="s">
        <v>858</v>
      </c>
      <c r="AU709" s="38"/>
      <c r="AV709" s="38"/>
      <c r="AW709" s="38"/>
      <c r="AX709" s="38"/>
    </row>
    <row r="710" spans="45:50">
      <c r="AS710" s="40" t="s">
        <v>853</v>
      </c>
      <c r="AT710" s="41" t="s">
        <v>859</v>
      </c>
      <c r="AU710" s="38"/>
      <c r="AV710" s="38"/>
      <c r="AW710" s="38"/>
      <c r="AX710" s="38"/>
    </row>
    <row r="711" spans="45:50">
      <c r="AS711" s="40" t="s">
        <v>853</v>
      </c>
      <c r="AT711" s="41" t="s">
        <v>860</v>
      </c>
      <c r="AU711" s="38"/>
      <c r="AV711" s="38"/>
      <c r="AW711" s="38"/>
      <c r="AX711" s="38"/>
    </row>
    <row r="712" spans="45:50">
      <c r="AS712" s="40" t="s">
        <v>853</v>
      </c>
      <c r="AT712" s="41" t="s">
        <v>861</v>
      </c>
      <c r="AU712" s="38"/>
      <c r="AV712" s="38"/>
      <c r="AW712" s="38"/>
      <c r="AX712" s="38"/>
    </row>
    <row r="713" spans="45:50">
      <c r="AS713" s="40" t="s">
        <v>853</v>
      </c>
      <c r="AT713" s="41" t="s">
        <v>862</v>
      </c>
      <c r="AU713" s="38"/>
      <c r="AV713" s="38"/>
      <c r="AW713" s="38"/>
      <c r="AX713" s="38"/>
    </row>
    <row r="714" spans="45:50">
      <c r="AS714" s="40" t="s">
        <v>853</v>
      </c>
      <c r="AT714" s="41" t="s">
        <v>863</v>
      </c>
      <c r="AU714" s="38"/>
      <c r="AV714" s="38"/>
      <c r="AW714" s="38"/>
      <c r="AX714" s="38"/>
    </row>
    <row r="715" spans="45:50">
      <c r="AS715" s="40" t="s">
        <v>853</v>
      </c>
      <c r="AT715" s="41" t="s">
        <v>864</v>
      </c>
      <c r="AU715" s="38"/>
      <c r="AV715" s="38"/>
      <c r="AW715" s="38"/>
      <c r="AX715" s="38"/>
    </row>
    <row r="716" spans="45:50">
      <c r="AS716" s="40" t="s">
        <v>853</v>
      </c>
      <c r="AT716" s="41" t="s">
        <v>865</v>
      </c>
      <c r="AU716" s="38"/>
      <c r="AV716" s="38"/>
      <c r="AW716" s="38"/>
      <c r="AX716" s="38"/>
    </row>
    <row r="717" spans="45:50">
      <c r="AS717" s="40" t="s">
        <v>853</v>
      </c>
      <c r="AT717" s="41" t="s">
        <v>866</v>
      </c>
      <c r="AU717" s="38"/>
      <c r="AV717" s="38"/>
      <c r="AW717" s="38"/>
      <c r="AX717" s="38"/>
    </row>
    <row r="718" spans="45:50">
      <c r="AS718" s="59" t="s">
        <v>867</v>
      </c>
      <c r="AT718" s="60" t="s">
        <v>868</v>
      </c>
      <c r="AU718" s="38"/>
      <c r="AV718" s="38"/>
      <c r="AW718" s="38"/>
      <c r="AX718" s="38"/>
    </row>
    <row r="719" spans="45:50">
      <c r="AS719" s="59" t="s">
        <v>867</v>
      </c>
      <c r="AT719" s="41" t="s">
        <v>869</v>
      </c>
      <c r="AU719" s="38"/>
      <c r="AV719" s="38"/>
      <c r="AW719" s="38"/>
      <c r="AX719" s="38"/>
    </row>
    <row r="720" spans="45:50">
      <c r="AS720" s="59" t="s">
        <v>867</v>
      </c>
      <c r="AT720" s="41" t="s">
        <v>870</v>
      </c>
      <c r="AU720" s="38"/>
      <c r="AV720" s="38"/>
      <c r="AW720" s="38"/>
      <c r="AX720" s="38"/>
    </row>
    <row r="721" spans="45:50">
      <c r="AS721" s="59" t="s">
        <v>867</v>
      </c>
      <c r="AT721" s="41" t="s">
        <v>871</v>
      </c>
      <c r="AU721" s="38"/>
      <c r="AV721" s="38"/>
      <c r="AW721" s="38"/>
      <c r="AX721" s="38"/>
    </row>
    <row r="722" spans="45:50">
      <c r="AS722" s="59" t="s">
        <v>867</v>
      </c>
      <c r="AT722" s="41" t="s">
        <v>872</v>
      </c>
      <c r="AU722" s="38"/>
      <c r="AV722" s="38"/>
      <c r="AW722" s="38"/>
      <c r="AX722" s="38"/>
    </row>
    <row r="723" spans="45:50">
      <c r="AS723" s="59" t="s">
        <v>867</v>
      </c>
      <c r="AT723" s="41" t="s">
        <v>873</v>
      </c>
      <c r="AU723" s="38"/>
      <c r="AV723" s="38"/>
      <c r="AW723" s="38"/>
      <c r="AX723" s="38"/>
    </row>
    <row r="724" spans="45:50">
      <c r="AS724" s="59" t="s">
        <v>867</v>
      </c>
      <c r="AT724" s="41" t="s">
        <v>874</v>
      </c>
      <c r="AU724" s="38"/>
      <c r="AV724" s="38"/>
      <c r="AW724" s="38"/>
      <c r="AX724" s="38"/>
    </row>
    <row r="725" spans="45:50">
      <c r="AS725" s="59" t="s">
        <v>867</v>
      </c>
      <c r="AT725" s="41" t="s">
        <v>875</v>
      </c>
      <c r="AU725" s="38"/>
      <c r="AV725" s="38"/>
      <c r="AW725" s="38"/>
      <c r="AX725" s="38"/>
    </row>
    <row r="726" spans="45:50">
      <c r="AS726" s="59" t="s">
        <v>867</v>
      </c>
      <c r="AT726" s="41" t="s">
        <v>876</v>
      </c>
      <c r="AU726" s="38"/>
      <c r="AV726" s="38"/>
      <c r="AW726" s="38"/>
      <c r="AX726" s="38"/>
    </row>
    <row r="727" spans="45:50">
      <c r="AS727" s="59" t="s">
        <v>867</v>
      </c>
      <c r="AT727" s="41" t="s">
        <v>877</v>
      </c>
      <c r="AU727" s="38"/>
      <c r="AV727" s="38"/>
      <c r="AW727" s="38"/>
      <c r="AX727" s="38"/>
    </row>
    <row r="728" spans="45:50">
      <c r="AS728" s="59" t="s">
        <v>867</v>
      </c>
      <c r="AT728" s="41" t="s">
        <v>878</v>
      </c>
      <c r="AU728" s="38"/>
      <c r="AV728" s="38"/>
      <c r="AW728" s="38"/>
      <c r="AX728" s="38"/>
    </row>
    <row r="729" spans="45:50">
      <c r="AS729" s="59" t="s">
        <v>867</v>
      </c>
      <c r="AT729" s="41" t="s">
        <v>879</v>
      </c>
      <c r="AU729" s="38"/>
      <c r="AV729" s="38"/>
      <c r="AW729" s="38"/>
      <c r="AX729" s="38"/>
    </row>
    <row r="730" spans="45:50">
      <c r="AS730" s="59" t="s">
        <v>867</v>
      </c>
      <c r="AT730" s="41" t="s">
        <v>880</v>
      </c>
      <c r="AU730" s="38"/>
      <c r="AV730" s="38"/>
      <c r="AW730" s="38"/>
      <c r="AX730" s="38"/>
    </row>
    <row r="731" spans="45:50">
      <c r="AS731" s="59" t="s">
        <v>867</v>
      </c>
      <c r="AT731" s="41" t="s">
        <v>881</v>
      </c>
      <c r="AU731" s="38"/>
      <c r="AV731" s="38"/>
      <c r="AW731" s="38"/>
      <c r="AX731" s="38"/>
    </row>
    <row r="732" spans="45:50">
      <c r="AS732" s="59" t="s">
        <v>867</v>
      </c>
      <c r="AT732" s="41" t="s">
        <v>882</v>
      </c>
      <c r="AU732" s="38"/>
      <c r="AV732" s="38"/>
      <c r="AW732" s="38"/>
      <c r="AX732" s="38"/>
    </row>
    <row r="733" spans="45:50">
      <c r="AS733" s="59" t="s">
        <v>867</v>
      </c>
      <c r="AT733" s="41" t="s">
        <v>883</v>
      </c>
      <c r="AU733" s="38"/>
      <c r="AV733" s="38"/>
      <c r="AW733" s="38"/>
      <c r="AX733" s="38"/>
    </row>
    <row r="734" spans="45:50">
      <c r="AS734" s="59" t="s">
        <v>867</v>
      </c>
      <c r="AT734" s="41" t="s">
        <v>884</v>
      </c>
      <c r="AU734" s="38"/>
      <c r="AV734" s="38"/>
      <c r="AW734" s="38"/>
      <c r="AX734" s="38"/>
    </row>
    <row r="735" spans="45:50">
      <c r="AS735" s="59" t="s">
        <v>867</v>
      </c>
      <c r="AT735" s="41" t="s">
        <v>885</v>
      </c>
      <c r="AU735" s="38"/>
      <c r="AV735" s="38"/>
      <c r="AW735" s="38"/>
      <c r="AX735" s="38"/>
    </row>
    <row r="736" spans="45:50">
      <c r="AS736" s="59" t="s">
        <v>867</v>
      </c>
      <c r="AT736" s="41" t="s">
        <v>886</v>
      </c>
      <c r="AU736" s="38"/>
      <c r="AV736" s="38"/>
      <c r="AW736" s="38"/>
      <c r="AX736" s="38"/>
    </row>
    <row r="737" spans="45:50">
      <c r="AS737" s="59" t="s">
        <v>867</v>
      </c>
      <c r="AT737" s="41" t="s">
        <v>887</v>
      </c>
      <c r="AU737" s="38"/>
      <c r="AV737" s="38"/>
      <c r="AW737" s="38"/>
      <c r="AX737" s="38"/>
    </row>
    <row r="738" spans="45:50">
      <c r="AS738" s="59" t="s">
        <v>867</v>
      </c>
      <c r="AT738" s="41" t="s">
        <v>888</v>
      </c>
      <c r="AU738" s="38"/>
      <c r="AV738" s="38"/>
      <c r="AW738" s="38"/>
      <c r="AX738" s="38"/>
    </row>
  </sheetData>
  <sheetProtection sheet="1" insertColumns="0" insertRows="0" deleteColumns="0" deleteRows="0"/>
  <mergeCells count="304">
    <mergeCell ref="A1:S1"/>
    <mergeCell ref="A2:S2"/>
    <mergeCell ref="A3:S3"/>
    <mergeCell ref="A4:S4"/>
    <mergeCell ref="B5:C5"/>
    <mergeCell ref="E5:F5"/>
    <mergeCell ref="H5:I5"/>
    <mergeCell ref="K5:L5"/>
    <mergeCell ref="M5:N5"/>
    <mergeCell ref="O5:P5"/>
    <mergeCell ref="R5:S5"/>
    <mergeCell ref="A6:A9"/>
    <mergeCell ref="B6:G6"/>
    <mergeCell ref="H6:M6"/>
    <mergeCell ref="N6:S6"/>
    <mergeCell ref="B7:B9"/>
    <mergeCell ref="C7:C9"/>
    <mergeCell ref="D7:D9"/>
    <mergeCell ref="E7:E9"/>
    <mergeCell ref="F7:F9"/>
    <mergeCell ref="S7:S9"/>
    <mergeCell ref="M7:M9"/>
    <mergeCell ref="N7:N9"/>
    <mergeCell ref="O7:O9"/>
    <mergeCell ref="P7:P9"/>
    <mergeCell ref="Q7:Q9"/>
    <mergeCell ref="R7:R9"/>
    <mergeCell ref="G7:G9"/>
    <mergeCell ref="H7:H9"/>
    <mergeCell ref="I7:I9"/>
    <mergeCell ref="J7:J9"/>
    <mergeCell ref="K7:K9"/>
    <mergeCell ref="L7:L9"/>
    <mergeCell ref="A13:F13"/>
    <mergeCell ref="G13:S13"/>
    <mergeCell ref="A14:F14"/>
    <mergeCell ref="G14:G15"/>
    <mergeCell ref="H14:H15"/>
    <mergeCell ref="I14:J14"/>
    <mergeCell ref="K14:L14"/>
    <mergeCell ref="M14:N14"/>
    <mergeCell ref="O14:Q14"/>
    <mergeCell ref="O20:S22"/>
    <mergeCell ref="C21:E21"/>
    <mergeCell ref="F21:H21"/>
    <mergeCell ref="I21:K21"/>
    <mergeCell ref="L21:N21"/>
    <mergeCell ref="O23:S23"/>
    <mergeCell ref="S14:S19"/>
    <mergeCell ref="A15:B15"/>
    <mergeCell ref="A16:A17"/>
    <mergeCell ref="A18:B18"/>
    <mergeCell ref="A19:B19"/>
    <mergeCell ref="A20:B23"/>
    <mergeCell ref="C20:E20"/>
    <mergeCell ref="F20:H20"/>
    <mergeCell ref="I20:K20"/>
    <mergeCell ref="L20:N20"/>
    <mergeCell ref="A29:B29"/>
    <mergeCell ref="A30:B30"/>
    <mergeCell ref="A31:B31"/>
    <mergeCell ref="A32:B32"/>
    <mergeCell ref="A33:B33"/>
    <mergeCell ref="A36:B36"/>
    <mergeCell ref="A24:B24"/>
    <mergeCell ref="O24:S24"/>
    <mergeCell ref="A25:B25"/>
    <mergeCell ref="A26:B26"/>
    <mergeCell ref="A27:B27"/>
    <mergeCell ref="A28:B28"/>
    <mergeCell ref="A40:B40"/>
    <mergeCell ref="O40:S40"/>
    <mergeCell ref="A41:B41"/>
    <mergeCell ref="O41:S41"/>
    <mergeCell ref="A42:B42"/>
    <mergeCell ref="O42:S42"/>
    <mergeCell ref="O36:S36"/>
    <mergeCell ref="A37:B37"/>
    <mergeCell ref="O37:S37"/>
    <mergeCell ref="A38:B38"/>
    <mergeCell ref="O38:S38"/>
    <mergeCell ref="A39:B39"/>
    <mergeCell ref="O39:S39"/>
    <mergeCell ref="A47:B47"/>
    <mergeCell ref="O47:S47"/>
    <mergeCell ref="A48:B48"/>
    <mergeCell ref="O48:S48"/>
    <mergeCell ref="A49:B49"/>
    <mergeCell ref="O49:S49"/>
    <mergeCell ref="A43:B43"/>
    <mergeCell ref="O43:S43"/>
    <mergeCell ref="A44:B44"/>
    <mergeCell ref="A45:B45"/>
    <mergeCell ref="A46:B46"/>
    <mergeCell ref="O46:S46"/>
    <mergeCell ref="A53:B53"/>
    <mergeCell ref="A54:B54"/>
    <mergeCell ref="A55:B55"/>
    <mergeCell ref="A56:B56"/>
    <mergeCell ref="O56:S56"/>
    <mergeCell ref="A57:B57"/>
    <mergeCell ref="O57:S57"/>
    <mergeCell ref="A50:B50"/>
    <mergeCell ref="O50:S50"/>
    <mergeCell ref="A51:B51"/>
    <mergeCell ref="O51:S51"/>
    <mergeCell ref="A52:B52"/>
    <mergeCell ref="O52:S52"/>
    <mergeCell ref="A61:B61"/>
    <mergeCell ref="O61:S61"/>
    <mergeCell ref="A62:B62"/>
    <mergeCell ref="O62:S62"/>
    <mergeCell ref="A63:B63"/>
    <mergeCell ref="O63:S63"/>
    <mergeCell ref="A58:B58"/>
    <mergeCell ref="O58:S58"/>
    <mergeCell ref="A59:B59"/>
    <mergeCell ref="O59:S59"/>
    <mergeCell ref="A60:B60"/>
    <mergeCell ref="O60:S60"/>
    <mergeCell ref="A67:B67"/>
    <mergeCell ref="O67:S67"/>
    <mergeCell ref="A68:B68"/>
    <mergeCell ref="O68:S68"/>
    <mergeCell ref="A69:B69"/>
    <mergeCell ref="O69:S69"/>
    <mergeCell ref="A64:B64"/>
    <mergeCell ref="O64:S64"/>
    <mergeCell ref="A65:B65"/>
    <mergeCell ref="O65:S65"/>
    <mergeCell ref="A66:B66"/>
    <mergeCell ref="O66:S66"/>
    <mergeCell ref="A73:B73"/>
    <mergeCell ref="O73:S73"/>
    <mergeCell ref="A74:B74"/>
    <mergeCell ref="O74:S74"/>
    <mergeCell ref="A75:B75"/>
    <mergeCell ref="O75:S75"/>
    <mergeCell ref="A70:B70"/>
    <mergeCell ref="O70:S70"/>
    <mergeCell ref="A71:B71"/>
    <mergeCell ref="O71:S71"/>
    <mergeCell ref="A72:B72"/>
    <mergeCell ref="O72:S72"/>
    <mergeCell ref="A78:A79"/>
    <mergeCell ref="O78:S78"/>
    <mergeCell ref="O79:S79"/>
    <mergeCell ref="A80:A81"/>
    <mergeCell ref="O80:S80"/>
    <mergeCell ref="O81:S81"/>
    <mergeCell ref="A76:B77"/>
    <mergeCell ref="C76:E76"/>
    <mergeCell ref="F76:H76"/>
    <mergeCell ref="I76:K76"/>
    <mergeCell ref="L76:N76"/>
    <mergeCell ref="O76:S77"/>
    <mergeCell ref="A86:A87"/>
    <mergeCell ref="O86:S86"/>
    <mergeCell ref="O87:S87"/>
    <mergeCell ref="A88:A89"/>
    <mergeCell ref="O88:S88"/>
    <mergeCell ref="O89:S89"/>
    <mergeCell ref="A82:A83"/>
    <mergeCell ref="O82:S82"/>
    <mergeCell ref="O83:S83"/>
    <mergeCell ref="A84:A85"/>
    <mergeCell ref="O84:S84"/>
    <mergeCell ref="O85:S85"/>
    <mergeCell ref="A94:A95"/>
    <mergeCell ref="O94:S94"/>
    <mergeCell ref="O95:S95"/>
    <mergeCell ref="A96:A97"/>
    <mergeCell ref="A98:A99"/>
    <mergeCell ref="A100:A101"/>
    <mergeCell ref="O100:S100"/>
    <mergeCell ref="O101:S101"/>
    <mergeCell ref="A90:A91"/>
    <mergeCell ref="O90:S90"/>
    <mergeCell ref="O91:S91"/>
    <mergeCell ref="A92:A93"/>
    <mergeCell ref="O92:S92"/>
    <mergeCell ref="O93:S93"/>
    <mergeCell ref="A106:A107"/>
    <mergeCell ref="O106:S106"/>
    <mergeCell ref="O107:S107"/>
    <mergeCell ref="A108:A109"/>
    <mergeCell ref="O108:S108"/>
    <mergeCell ref="O109:S109"/>
    <mergeCell ref="A102:A103"/>
    <mergeCell ref="O102:S102"/>
    <mergeCell ref="O103:S103"/>
    <mergeCell ref="A104:A105"/>
    <mergeCell ref="O104:S104"/>
    <mergeCell ref="O105:S105"/>
    <mergeCell ref="A114:A115"/>
    <mergeCell ref="A116:A117"/>
    <mergeCell ref="A118:A119"/>
    <mergeCell ref="O118:S118"/>
    <mergeCell ref="O119:S119"/>
    <mergeCell ref="A120:A121"/>
    <mergeCell ref="O120:S120"/>
    <mergeCell ref="O121:S121"/>
    <mergeCell ref="A110:A111"/>
    <mergeCell ref="O110:S110"/>
    <mergeCell ref="O111:S111"/>
    <mergeCell ref="A112:A113"/>
    <mergeCell ref="O112:S112"/>
    <mergeCell ref="O113:S113"/>
    <mergeCell ref="A126:A127"/>
    <mergeCell ref="O126:S126"/>
    <mergeCell ref="O127:S127"/>
    <mergeCell ref="A128:A129"/>
    <mergeCell ref="O128:S128"/>
    <mergeCell ref="O129:S129"/>
    <mergeCell ref="A122:A123"/>
    <mergeCell ref="O122:S122"/>
    <mergeCell ref="O123:S123"/>
    <mergeCell ref="A124:A125"/>
    <mergeCell ref="O124:S124"/>
    <mergeCell ref="O125:S125"/>
    <mergeCell ref="A138:A139"/>
    <mergeCell ref="O138:S138"/>
    <mergeCell ref="O139:S139"/>
    <mergeCell ref="A140:A141"/>
    <mergeCell ref="O140:S140"/>
    <mergeCell ref="O141:S141"/>
    <mergeCell ref="A130:A131"/>
    <mergeCell ref="A132:A133"/>
    <mergeCell ref="A134:A135"/>
    <mergeCell ref="A136:A137"/>
    <mergeCell ref="O136:S136"/>
    <mergeCell ref="O137:S137"/>
    <mergeCell ref="A146:A147"/>
    <mergeCell ref="O146:S146"/>
    <mergeCell ref="O147:S147"/>
    <mergeCell ref="A148:A149"/>
    <mergeCell ref="O148:S148"/>
    <mergeCell ref="O149:S149"/>
    <mergeCell ref="A142:A143"/>
    <mergeCell ref="O142:S142"/>
    <mergeCell ref="O143:S143"/>
    <mergeCell ref="A144:A145"/>
    <mergeCell ref="O144:S144"/>
    <mergeCell ref="O145:S145"/>
    <mergeCell ref="A154:A155"/>
    <mergeCell ref="O154:S154"/>
    <mergeCell ref="O155:S155"/>
    <mergeCell ref="A156:A157"/>
    <mergeCell ref="O156:S156"/>
    <mergeCell ref="O157:S157"/>
    <mergeCell ref="A150:A151"/>
    <mergeCell ref="O150:S150"/>
    <mergeCell ref="O151:S151"/>
    <mergeCell ref="A152:A153"/>
    <mergeCell ref="O152:S152"/>
    <mergeCell ref="O153:S153"/>
    <mergeCell ref="A162:A163"/>
    <mergeCell ref="O162:S162"/>
    <mergeCell ref="O163:S163"/>
    <mergeCell ref="A164:A165"/>
    <mergeCell ref="O164:S164"/>
    <mergeCell ref="O165:S165"/>
    <mergeCell ref="A158:A159"/>
    <mergeCell ref="O158:S158"/>
    <mergeCell ref="O159:S159"/>
    <mergeCell ref="A160:A161"/>
    <mergeCell ref="O160:S160"/>
    <mergeCell ref="O161:S161"/>
    <mergeCell ref="A170:A171"/>
    <mergeCell ref="O170:S170"/>
    <mergeCell ref="O171:S171"/>
    <mergeCell ref="A172:A173"/>
    <mergeCell ref="O172:S172"/>
    <mergeCell ref="O173:S173"/>
    <mergeCell ref="A166:A167"/>
    <mergeCell ref="O166:S166"/>
    <mergeCell ref="O167:S167"/>
    <mergeCell ref="A168:A169"/>
    <mergeCell ref="O168:S168"/>
    <mergeCell ref="O169:S169"/>
    <mergeCell ref="A178:A179"/>
    <mergeCell ref="O178:S178"/>
    <mergeCell ref="O179:S179"/>
    <mergeCell ref="A180:A181"/>
    <mergeCell ref="A182:A183"/>
    <mergeCell ref="O182:S182"/>
    <mergeCell ref="O183:S183"/>
    <mergeCell ref="A174:A175"/>
    <mergeCell ref="O174:S174"/>
    <mergeCell ref="O175:S175"/>
    <mergeCell ref="A176:A177"/>
    <mergeCell ref="O176:S176"/>
    <mergeCell ref="O177:S177"/>
    <mergeCell ref="A188:B188"/>
    <mergeCell ref="A184:B184"/>
    <mergeCell ref="C184:F184"/>
    <mergeCell ref="G184:N184"/>
    <mergeCell ref="O184:S184"/>
    <mergeCell ref="A185:B185"/>
    <mergeCell ref="C185:F188"/>
    <mergeCell ref="G185:N188"/>
    <mergeCell ref="O185:S188"/>
    <mergeCell ref="A186:B186"/>
    <mergeCell ref="A187:B187"/>
  </mergeCells>
  <dataValidations count="2">
    <dataValidation type="list" allowBlank="1" showInputMessage="1" showErrorMessage="1" sqref="B5:C5">
      <formula1>Statelist</formula1>
    </dataValidation>
    <dataValidation type="list" allowBlank="1" showInputMessage="1" showErrorMessage="1" sqref="E5:F5">
      <formula1>DMT</formula1>
    </dataValidation>
  </dataValidations>
  <pageMargins left="0.2" right="0" top="0.14000000000000001" bottom="0" header="0.17" footer="0"/>
  <pageSetup paperSize="9" scale="49" orientation="landscape" r:id="rId1"/>
  <rowBreaks count="3" manualBreakCount="3">
    <brk id="41" max="16" man="1"/>
    <brk id="92" max="16" man="1"/>
    <brk id="148" max="1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D3:J7"/>
  <sheetViews>
    <sheetView workbookViewId="0">
      <selection activeCell="J7" sqref="J7"/>
    </sheetView>
  </sheetViews>
  <sheetFormatPr defaultRowHeight="15"/>
  <cols>
    <col min="4" max="4" width="17.28515625" customWidth="1"/>
    <col min="5" max="5" width="19.85546875" customWidth="1"/>
    <col min="6" max="7" width="20.42578125" customWidth="1"/>
    <col min="8" max="8" width="12.42578125" customWidth="1"/>
    <col min="9" max="9" width="12.5703125" bestFit="1" customWidth="1"/>
    <col min="10" max="10" width="18.42578125" customWidth="1"/>
  </cols>
  <sheetData>
    <row r="3" spans="4:10">
      <c r="D3" s="414" t="s">
        <v>904</v>
      </c>
      <c r="E3" s="414"/>
      <c r="F3" s="414"/>
      <c r="G3" s="414"/>
      <c r="H3" s="414"/>
      <c r="I3" s="414"/>
      <c r="J3" s="414"/>
    </row>
    <row r="4" spans="4:10" ht="60">
      <c r="D4" s="88" t="s">
        <v>912</v>
      </c>
      <c r="E4" s="88" t="s">
        <v>905</v>
      </c>
      <c r="F4" s="88" t="s">
        <v>925</v>
      </c>
      <c r="G4" s="88" t="s">
        <v>918</v>
      </c>
      <c r="H4" s="88" t="s">
        <v>906</v>
      </c>
      <c r="I4" s="89" t="s">
        <v>907</v>
      </c>
      <c r="J4" s="89" t="s">
        <v>908</v>
      </c>
    </row>
    <row r="5" spans="4:10" ht="58.5" customHeight="1">
      <c r="D5" s="88" t="s">
        <v>909</v>
      </c>
      <c r="E5" s="90" t="s">
        <v>917</v>
      </c>
      <c r="F5" s="88" t="s">
        <v>910</v>
      </c>
      <c r="G5" s="88" t="s">
        <v>913</v>
      </c>
      <c r="H5" s="89" t="s">
        <v>911</v>
      </c>
      <c r="I5" s="88" t="s">
        <v>914</v>
      </c>
      <c r="J5" s="88" t="s">
        <v>915</v>
      </c>
    </row>
    <row r="6" spans="4:10" ht="60">
      <c r="D6" s="91" t="s">
        <v>916</v>
      </c>
      <c r="E6" s="90" t="s">
        <v>921</v>
      </c>
      <c r="F6" s="88" t="s">
        <v>910</v>
      </c>
      <c r="G6" s="88" t="s">
        <v>913</v>
      </c>
      <c r="H6" s="89" t="s">
        <v>911</v>
      </c>
      <c r="I6" s="88" t="s">
        <v>914</v>
      </c>
      <c r="J6" s="88" t="s">
        <v>915</v>
      </c>
    </row>
    <row r="7" spans="4:10" ht="45">
      <c r="D7" s="92" t="s">
        <v>919</v>
      </c>
      <c r="E7" s="92" t="s">
        <v>920</v>
      </c>
      <c r="F7" s="90" t="s">
        <v>922</v>
      </c>
      <c r="G7" s="93" t="s">
        <v>923</v>
      </c>
      <c r="H7" s="89" t="s">
        <v>924</v>
      </c>
      <c r="I7" s="88" t="s">
        <v>914</v>
      </c>
      <c r="J7" s="90" t="s">
        <v>915</v>
      </c>
    </row>
  </sheetData>
  <mergeCells count="1">
    <mergeCell ref="D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3:I113"/>
  <sheetViews>
    <sheetView topLeftCell="A8" zoomScale="85" zoomScaleNormal="85" workbookViewId="0">
      <selection activeCell="H4" sqref="H4"/>
    </sheetView>
  </sheetViews>
  <sheetFormatPr defaultRowHeight="15"/>
  <cols>
    <col min="3" max="9" width="25.7109375" customWidth="1"/>
    <col min="10" max="11" width="11.42578125" customWidth="1"/>
    <col min="12" max="12" width="19.28515625" customWidth="1"/>
    <col min="13" max="13" width="28.7109375" customWidth="1"/>
    <col min="14" max="14" width="24.85546875" customWidth="1"/>
    <col min="15" max="17" width="9.140625" customWidth="1"/>
  </cols>
  <sheetData>
    <row r="3" spans="3:9" ht="15" customHeight="1">
      <c r="C3" s="109" t="s">
        <v>1159</v>
      </c>
      <c r="D3" s="92" t="s">
        <v>97</v>
      </c>
      <c r="E3" s="92" t="s">
        <v>946</v>
      </c>
      <c r="F3" s="92" t="s">
        <v>947</v>
      </c>
      <c r="G3" t="s">
        <v>85</v>
      </c>
    </row>
    <row r="4" spans="3:9" ht="30">
      <c r="C4" t="s">
        <v>934</v>
      </c>
      <c r="D4" s="92" t="s">
        <v>934</v>
      </c>
      <c r="E4" s="92" t="s">
        <v>935</v>
      </c>
      <c r="F4" s="97" t="s">
        <v>938</v>
      </c>
      <c r="G4" t="s">
        <v>943</v>
      </c>
      <c r="H4" t="s">
        <v>1100</v>
      </c>
      <c r="I4" t="s">
        <v>1140</v>
      </c>
    </row>
    <row r="5" spans="3:9">
      <c r="C5" t="s">
        <v>936</v>
      </c>
      <c r="D5" s="92" t="s">
        <v>934</v>
      </c>
      <c r="E5" s="98" t="s">
        <v>955</v>
      </c>
      <c r="F5" s="98" t="s">
        <v>953</v>
      </c>
      <c r="H5" s="38"/>
    </row>
    <row r="6" spans="3:9" ht="45">
      <c r="C6" t="s">
        <v>939</v>
      </c>
      <c r="D6" s="92" t="s">
        <v>934</v>
      </c>
      <c r="E6" s="98" t="s">
        <v>956</v>
      </c>
      <c r="F6" s="97" t="s">
        <v>954</v>
      </c>
      <c r="H6" s="101"/>
    </row>
    <row r="7" spans="3:9" ht="28.5" customHeight="1">
      <c r="C7" t="s">
        <v>940</v>
      </c>
      <c r="D7" s="92" t="s">
        <v>936</v>
      </c>
      <c r="E7" s="92" t="s">
        <v>936</v>
      </c>
      <c r="F7" s="89" t="s">
        <v>937</v>
      </c>
      <c r="H7" s="102"/>
    </row>
    <row r="8" spans="3:9" ht="30">
      <c r="C8" t="s">
        <v>941</v>
      </c>
      <c r="D8" s="92" t="s">
        <v>939</v>
      </c>
      <c r="E8" s="92" t="s">
        <v>957</v>
      </c>
      <c r="F8" s="97" t="s">
        <v>966</v>
      </c>
      <c r="H8" s="101"/>
    </row>
    <row r="9" spans="3:9" ht="30">
      <c r="C9" t="s">
        <v>943</v>
      </c>
      <c r="D9" s="92" t="s">
        <v>939</v>
      </c>
      <c r="E9" s="92" t="s">
        <v>958</v>
      </c>
      <c r="F9" s="97" t="s">
        <v>967</v>
      </c>
      <c r="H9" s="101"/>
    </row>
    <row r="10" spans="3:9">
      <c r="C10" t="s">
        <v>95</v>
      </c>
      <c r="D10" s="92" t="s">
        <v>940</v>
      </c>
      <c r="E10" s="92" t="s">
        <v>959</v>
      </c>
      <c r="F10" s="92" t="s">
        <v>968</v>
      </c>
    </row>
    <row r="11" spans="3:9">
      <c r="C11" t="s">
        <v>944</v>
      </c>
      <c r="D11" s="92" t="s">
        <v>940</v>
      </c>
      <c r="E11" s="92" t="s">
        <v>960</v>
      </c>
      <c r="F11" s="92" t="s">
        <v>969</v>
      </c>
    </row>
    <row r="12" spans="3:9">
      <c r="C12" t="s">
        <v>948</v>
      </c>
      <c r="D12" s="92" t="s">
        <v>940</v>
      </c>
      <c r="E12" s="92" t="s">
        <v>961</v>
      </c>
      <c r="F12" s="92" t="s">
        <v>970</v>
      </c>
    </row>
    <row r="13" spans="3:9">
      <c r="C13" t="s">
        <v>50</v>
      </c>
      <c r="D13" s="92" t="s">
        <v>940</v>
      </c>
      <c r="E13" s="92" t="s">
        <v>962</v>
      </c>
      <c r="F13" s="92" t="s">
        <v>971</v>
      </c>
    </row>
    <row r="14" spans="3:9">
      <c r="C14" t="s">
        <v>945</v>
      </c>
      <c r="D14" s="92" t="s">
        <v>940</v>
      </c>
      <c r="E14" s="92" t="s">
        <v>963</v>
      </c>
      <c r="F14" s="92" t="s">
        <v>970</v>
      </c>
    </row>
    <row r="15" spans="3:9">
      <c r="C15" t="s">
        <v>949</v>
      </c>
      <c r="D15" s="92" t="s">
        <v>940</v>
      </c>
      <c r="E15" s="92" t="s">
        <v>964</v>
      </c>
      <c r="F15" s="92" t="s">
        <v>972</v>
      </c>
    </row>
    <row r="16" spans="3:9">
      <c r="C16" t="s">
        <v>951</v>
      </c>
      <c r="D16" s="92" t="s">
        <v>940</v>
      </c>
      <c r="E16" s="92" t="s">
        <v>964</v>
      </c>
      <c r="F16" s="92" t="s">
        <v>973</v>
      </c>
    </row>
    <row r="17" spans="4:8">
      <c r="D17" s="92" t="s">
        <v>940</v>
      </c>
      <c r="E17" s="92" t="s">
        <v>965</v>
      </c>
      <c r="F17" s="92" t="s">
        <v>974</v>
      </c>
    </row>
    <row r="18" spans="4:8" ht="23.25" customHeight="1">
      <c r="D18" s="89" t="s">
        <v>941</v>
      </c>
      <c r="E18" s="92" t="s">
        <v>976</v>
      </c>
      <c r="F18" s="91" t="s">
        <v>975</v>
      </c>
      <c r="H18" s="103"/>
    </row>
    <row r="19" spans="4:8" ht="23.25" customHeight="1">
      <c r="D19" s="89" t="s">
        <v>941</v>
      </c>
      <c r="E19" s="92" t="s">
        <v>977</v>
      </c>
      <c r="F19" s="92" t="s">
        <v>984</v>
      </c>
    </row>
    <row r="20" spans="4:8" ht="23.25" customHeight="1">
      <c r="D20" s="89" t="s">
        <v>941</v>
      </c>
      <c r="E20" s="92" t="s">
        <v>978</v>
      </c>
      <c r="F20" s="92" t="s">
        <v>985</v>
      </c>
    </row>
    <row r="21" spans="4:8" ht="28.5" customHeight="1">
      <c r="D21" s="89" t="s">
        <v>941</v>
      </c>
      <c r="E21" s="92" t="s">
        <v>979</v>
      </c>
      <c r="F21" s="97" t="s">
        <v>986</v>
      </c>
      <c r="H21" s="101"/>
    </row>
    <row r="22" spans="4:8" ht="31.5" customHeight="1">
      <c r="D22" s="89" t="s">
        <v>941</v>
      </c>
      <c r="E22" s="92" t="s">
        <v>980</v>
      </c>
      <c r="F22" s="97" t="s">
        <v>942</v>
      </c>
      <c r="H22" s="101"/>
    </row>
    <row r="23" spans="4:8" ht="23.25" customHeight="1">
      <c r="D23" s="89" t="s">
        <v>941</v>
      </c>
      <c r="E23" s="92" t="s">
        <v>981</v>
      </c>
      <c r="F23" s="92" t="s">
        <v>987</v>
      </c>
    </row>
    <row r="24" spans="4:8" ht="23.25" customHeight="1">
      <c r="D24" s="89" t="s">
        <v>941</v>
      </c>
      <c r="E24" s="92" t="s">
        <v>982</v>
      </c>
      <c r="F24" s="92" t="s">
        <v>989</v>
      </c>
    </row>
    <row r="25" spans="4:8" ht="23.25" customHeight="1">
      <c r="D25" s="89" t="s">
        <v>941</v>
      </c>
      <c r="E25" s="92" t="s">
        <v>983</v>
      </c>
      <c r="F25" s="92" t="s">
        <v>988</v>
      </c>
    </row>
    <row r="26" spans="4:8">
      <c r="D26" s="92" t="s">
        <v>943</v>
      </c>
      <c r="E26" s="92" t="s">
        <v>992</v>
      </c>
      <c r="F26" s="92" t="s">
        <v>990</v>
      </c>
    </row>
    <row r="27" spans="4:8" ht="20.25" customHeight="1">
      <c r="D27" s="98" t="s">
        <v>943</v>
      </c>
      <c r="E27" s="98" t="s">
        <v>993</v>
      </c>
      <c r="F27" s="99" t="s">
        <v>991</v>
      </c>
      <c r="H27" s="104"/>
    </row>
    <row r="28" spans="4:8">
      <c r="D28" s="92" t="s">
        <v>95</v>
      </c>
      <c r="E28" s="92" t="s">
        <v>994</v>
      </c>
      <c r="F28" s="92" t="s">
        <v>998</v>
      </c>
    </row>
    <row r="29" spans="4:8">
      <c r="D29" s="92" t="s">
        <v>95</v>
      </c>
      <c r="E29" s="92" t="s">
        <v>995</v>
      </c>
      <c r="F29" s="92" t="s">
        <v>999</v>
      </c>
    </row>
    <row r="30" spans="4:8" ht="23.25" customHeight="1">
      <c r="D30" s="98" t="s">
        <v>944</v>
      </c>
      <c r="E30" s="99" t="s">
        <v>996</v>
      </c>
      <c r="F30" s="91" t="s">
        <v>1000</v>
      </c>
      <c r="H30" s="103"/>
    </row>
    <row r="31" spans="4:8" ht="27" customHeight="1">
      <c r="D31" s="98" t="s">
        <v>944</v>
      </c>
      <c r="E31" s="99" t="s">
        <v>997</v>
      </c>
      <c r="F31" s="100" t="s">
        <v>1001</v>
      </c>
      <c r="H31" s="105"/>
    </row>
    <row r="32" spans="4:8" ht="45">
      <c r="D32" s="98" t="s">
        <v>944</v>
      </c>
      <c r="E32" s="91" t="s">
        <v>1003</v>
      </c>
      <c r="F32" s="97" t="s">
        <v>1002</v>
      </c>
    </row>
    <row r="33" spans="4:8" ht="15.75" customHeight="1">
      <c r="D33" s="98" t="s">
        <v>944</v>
      </c>
      <c r="E33" s="99" t="s">
        <v>1004</v>
      </c>
      <c r="F33" s="99" t="s">
        <v>1008</v>
      </c>
      <c r="H33" s="104"/>
    </row>
    <row r="34" spans="4:8" ht="32.25" customHeight="1">
      <c r="D34" s="98" t="s">
        <v>944</v>
      </c>
      <c r="E34" s="99" t="s">
        <v>1005</v>
      </c>
      <c r="F34" s="91" t="s">
        <v>1009</v>
      </c>
    </row>
    <row r="35" spans="4:8" ht="45">
      <c r="D35" s="98" t="s">
        <v>944</v>
      </c>
      <c r="E35" s="99" t="s">
        <v>1006</v>
      </c>
      <c r="F35" s="92" t="s">
        <v>1010</v>
      </c>
    </row>
    <row r="36" spans="4:8" ht="45">
      <c r="D36" s="98" t="s">
        <v>944</v>
      </c>
      <c r="E36" s="99" t="s">
        <v>1007</v>
      </c>
      <c r="F36" s="92" t="s">
        <v>1011</v>
      </c>
    </row>
    <row r="37" spans="4:8">
      <c r="D37" s="98" t="s">
        <v>944</v>
      </c>
      <c r="E37" s="92" t="s">
        <v>1017</v>
      </c>
      <c r="F37" s="92" t="s">
        <v>1012</v>
      </c>
    </row>
    <row r="38" spans="4:8">
      <c r="D38" s="98" t="s">
        <v>944</v>
      </c>
      <c r="E38" s="92" t="s">
        <v>1018</v>
      </c>
      <c r="F38" s="92" t="s">
        <v>1013</v>
      </c>
    </row>
    <row r="39" spans="4:8">
      <c r="D39" s="98" t="s">
        <v>944</v>
      </c>
      <c r="E39" s="92" t="s">
        <v>1019</v>
      </c>
      <c r="F39" s="92" t="s">
        <v>1014</v>
      </c>
    </row>
    <row r="40" spans="4:8">
      <c r="D40" s="98" t="s">
        <v>944</v>
      </c>
      <c r="E40" s="92" t="s">
        <v>1020</v>
      </c>
      <c r="F40" s="92" t="s">
        <v>1015</v>
      </c>
    </row>
    <row r="41" spans="4:8">
      <c r="D41" s="98" t="s">
        <v>944</v>
      </c>
      <c r="E41" s="92" t="s">
        <v>1021</v>
      </c>
      <c r="F41" s="92" t="s">
        <v>1016</v>
      </c>
    </row>
    <row r="42" spans="4:8" ht="31.5" customHeight="1">
      <c r="D42" s="98" t="s">
        <v>944</v>
      </c>
      <c r="E42" s="89" t="s">
        <v>1026</v>
      </c>
      <c r="F42" s="89" t="s">
        <v>1022</v>
      </c>
      <c r="H42" s="102"/>
    </row>
    <row r="43" spans="4:8" ht="45">
      <c r="D43" s="98" t="s">
        <v>944</v>
      </c>
      <c r="E43" s="98" t="s">
        <v>1027</v>
      </c>
      <c r="F43" s="97" t="s">
        <v>1023</v>
      </c>
      <c r="H43" s="101"/>
    </row>
    <row r="44" spans="4:8" ht="45">
      <c r="D44" s="98" t="s">
        <v>944</v>
      </c>
      <c r="E44" s="97" t="s">
        <v>1028</v>
      </c>
      <c r="F44" s="91" t="s">
        <v>1024</v>
      </c>
      <c r="H44" s="103"/>
    </row>
    <row r="45" spans="4:8" ht="27" customHeight="1">
      <c r="D45" s="98" t="s">
        <v>944</v>
      </c>
      <c r="E45" s="89" t="s">
        <v>1029</v>
      </c>
      <c r="F45" s="91" t="s">
        <v>1025</v>
      </c>
      <c r="H45" s="103"/>
    </row>
    <row r="46" spans="4:8">
      <c r="D46" s="98" t="s">
        <v>944</v>
      </c>
      <c r="E46" s="92" t="s">
        <v>1030</v>
      </c>
      <c r="F46" s="92" t="s">
        <v>1048</v>
      </c>
    </row>
    <row r="47" spans="4:8">
      <c r="D47" s="98" t="s">
        <v>944</v>
      </c>
      <c r="E47" s="92" t="s">
        <v>1031</v>
      </c>
      <c r="F47" s="92" t="s">
        <v>1049</v>
      </c>
    </row>
    <row r="48" spans="4:8" ht="45">
      <c r="D48" s="98" t="s">
        <v>944</v>
      </c>
      <c r="E48" s="97" t="s">
        <v>1032</v>
      </c>
      <c r="F48" s="92" t="s">
        <v>1050</v>
      </c>
    </row>
    <row r="49" spans="4:6" ht="45">
      <c r="D49" s="98" t="s">
        <v>944</v>
      </c>
      <c r="E49" s="97" t="s">
        <v>1033</v>
      </c>
      <c r="F49" s="92" t="s">
        <v>1051</v>
      </c>
    </row>
    <row r="50" spans="4:6">
      <c r="D50" s="98" t="s">
        <v>944</v>
      </c>
      <c r="E50" s="92" t="s">
        <v>1034</v>
      </c>
      <c r="F50" s="92" t="s">
        <v>1052</v>
      </c>
    </row>
    <row r="51" spans="4:6">
      <c r="D51" s="98" t="s">
        <v>944</v>
      </c>
      <c r="E51" s="92" t="s">
        <v>1035</v>
      </c>
      <c r="F51" s="92" t="s">
        <v>1053</v>
      </c>
    </row>
    <row r="52" spans="4:6">
      <c r="D52" s="98" t="s">
        <v>944</v>
      </c>
      <c r="E52" s="92" t="s">
        <v>1036</v>
      </c>
      <c r="F52" s="92" t="s">
        <v>1054</v>
      </c>
    </row>
    <row r="53" spans="4:6">
      <c r="D53" s="98" t="s">
        <v>944</v>
      </c>
      <c r="E53" s="92" t="s">
        <v>1037</v>
      </c>
      <c r="F53" s="92" t="s">
        <v>1055</v>
      </c>
    </row>
    <row r="54" spans="4:6">
      <c r="D54" s="98" t="s">
        <v>944</v>
      </c>
      <c r="E54" s="92" t="s">
        <v>1038</v>
      </c>
      <c r="F54" s="92" t="s">
        <v>1056</v>
      </c>
    </row>
    <row r="55" spans="4:6">
      <c r="D55" s="98" t="s">
        <v>944</v>
      </c>
      <c r="E55" s="92" t="s">
        <v>1039</v>
      </c>
      <c r="F55" s="92" t="s">
        <v>1057</v>
      </c>
    </row>
    <row r="56" spans="4:6">
      <c r="D56" s="98" t="s">
        <v>944</v>
      </c>
      <c r="E56" s="92" t="s">
        <v>1040</v>
      </c>
      <c r="F56" s="92" t="s">
        <v>1058</v>
      </c>
    </row>
    <row r="57" spans="4:6">
      <c r="D57" s="98" t="s">
        <v>944</v>
      </c>
      <c r="E57" s="92" t="s">
        <v>1041</v>
      </c>
      <c r="F57" s="92" t="s">
        <v>1059</v>
      </c>
    </row>
    <row r="58" spans="4:6">
      <c r="D58" s="98" t="s">
        <v>944</v>
      </c>
      <c r="E58" s="92" t="s">
        <v>1042</v>
      </c>
      <c r="F58" s="92" t="s">
        <v>1060</v>
      </c>
    </row>
    <row r="59" spans="4:6">
      <c r="D59" s="98" t="s">
        <v>944</v>
      </c>
      <c r="E59" s="92" t="s">
        <v>1043</v>
      </c>
      <c r="F59" s="92" t="s">
        <v>1061</v>
      </c>
    </row>
    <row r="60" spans="4:6">
      <c r="D60" s="98" t="s">
        <v>944</v>
      </c>
      <c r="E60" s="92" t="s">
        <v>1044</v>
      </c>
      <c r="F60" s="92" t="s">
        <v>1062</v>
      </c>
    </row>
    <row r="61" spans="4:6">
      <c r="D61" s="98" t="s">
        <v>944</v>
      </c>
      <c r="E61" s="92" t="s">
        <v>1045</v>
      </c>
      <c r="F61" s="92" t="s">
        <v>1063</v>
      </c>
    </row>
    <row r="62" spans="4:6">
      <c r="D62" s="98" t="s">
        <v>944</v>
      </c>
      <c r="E62" s="92" t="s">
        <v>1046</v>
      </c>
      <c r="F62" s="92" t="s">
        <v>1064</v>
      </c>
    </row>
    <row r="63" spans="4:6">
      <c r="D63" s="98" t="s">
        <v>944</v>
      </c>
      <c r="E63" s="92" t="s">
        <v>1047</v>
      </c>
      <c r="F63" s="92" t="s">
        <v>1065</v>
      </c>
    </row>
    <row r="64" spans="4:6">
      <c r="D64" s="92" t="s">
        <v>948</v>
      </c>
      <c r="E64" s="92" t="s">
        <v>1073</v>
      </c>
      <c r="F64" s="92" t="s">
        <v>1066</v>
      </c>
    </row>
    <row r="65" spans="4:8" ht="45">
      <c r="D65" s="92" t="s">
        <v>50</v>
      </c>
      <c r="E65" s="97" t="s">
        <v>1074</v>
      </c>
      <c r="F65" s="89" t="s">
        <v>1067</v>
      </c>
      <c r="H65" s="102"/>
    </row>
    <row r="66" spans="4:8" ht="45">
      <c r="D66" s="92" t="s">
        <v>50</v>
      </c>
      <c r="E66" s="97" t="s">
        <v>1075</v>
      </c>
      <c r="F66" s="89" t="s">
        <v>1068</v>
      </c>
      <c r="H66" s="102"/>
    </row>
    <row r="67" spans="4:8">
      <c r="D67" s="92" t="s">
        <v>50</v>
      </c>
      <c r="E67" s="92" t="s">
        <v>1076</v>
      </c>
      <c r="F67" s="92" t="s">
        <v>1069</v>
      </c>
    </row>
    <row r="68" spans="4:8">
      <c r="D68" s="92" t="s">
        <v>50</v>
      </c>
      <c r="E68" s="92" t="s">
        <v>1077</v>
      </c>
      <c r="F68" s="92" t="s">
        <v>1070</v>
      </c>
    </row>
    <row r="69" spans="4:8">
      <c r="D69" s="92" t="s">
        <v>50</v>
      </c>
      <c r="E69" s="92" t="s">
        <v>1078</v>
      </c>
      <c r="F69" s="92" t="s">
        <v>1071</v>
      </c>
    </row>
    <row r="70" spans="4:8">
      <c r="D70" s="92" t="s">
        <v>50</v>
      </c>
      <c r="E70" s="92" t="s">
        <v>1079</v>
      </c>
      <c r="F70" s="92" t="s">
        <v>1072</v>
      </c>
    </row>
    <row r="71" spans="4:8">
      <c r="D71" s="92" t="s">
        <v>945</v>
      </c>
      <c r="E71" s="92" t="s">
        <v>1080</v>
      </c>
      <c r="F71" s="92" t="s">
        <v>1118</v>
      </c>
      <c r="G71" s="107"/>
    </row>
    <row r="72" spans="4:8">
      <c r="D72" s="92" t="s">
        <v>945</v>
      </c>
      <c r="E72" s="92" t="s">
        <v>1081</v>
      </c>
      <c r="F72" s="92" t="s">
        <v>1119</v>
      </c>
      <c r="G72" s="107"/>
    </row>
    <row r="73" spans="4:8">
      <c r="D73" s="92" t="s">
        <v>945</v>
      </c>
      <c r="E73" s="92" t="s">
        <v>1082</v>
      </c>
      <c r="F73" s="92" t="s">
        <v>1120</v>
      </c>
      <c r="G73" s="107"/>
    </row>
    <row r="74" spans="4:8">
      <c r="D74" s="92" t="s">
        <v>945</v>
      </c>
      <c r="E74" s="92" t="s">
        <v>1083</v>
      </c>
      <c r="F74" s="92" t="s">
        <v>1121</v>
      </c>
      <c r="G74" s="107"/>
    </row>
    <row r="75" spans="4:8">
      <c r="D75" s="92" t="s">
        <v>945</v>
      </c>
      <c r="E75" s="92" t="s">
        <v>1084</v>
      </c>
      <c r="F75" s="92" t="s">
        <v>1122</v>
      </c>
      <c r="G75" s="107"/>
    </row>
    <row r="76" spans="4:8">
      <c r="D76" s="92" t="s">
        <v>945</v>
      </c>
      <c r="E76" s="92" t="s">
        <v>1085</v>
      </c>
      <c r="F76" s="92" t="s">
        <v>1123</v>
      </c>
      <c r="G76" s="107"/>
    </row>
    <row r="77" spans="4:8">
      <c r="D77" s="92" t="s">
        <v>945</v>
      </c>
      <c r="E77" s="92" t="s">
        <v>1086</v>
      </c>
      <c r="F77" s="92" t="s">
        <v>1124</v>
      </c>
      <c r="G77" s="107"/>
    </row>
    <row r="78" spans="4:8">
      <c r="D78" s="92" t="s">
        <v>945</v>
      </c>
      <c r="E78" s="92" t="s">
        <v>1086</v>
      </c>
      <c r="F78" s="92" t="s">
        <v>1125</v>
      </c>
      <c r="G78" s="107"/>
    </row>
    <row r="79" spans="4:8">
      <c r="D79" s="92" t="s">
        <v>945</v>
      </c>
      <c r="E79" s="92" t="s">
        <v>1117</v>
      </c>
      <c r="F79" s="106" t="s">
        <v>1126</v>
      </c>
      <c r="G79" s="107"/>
    </row>
    <row r="80" spans="4:8">
      <c r="D80" s="92" t="s">
        <v>949</v>
      </c>
      <c r="E80" s="92" t="s">
        <v>1087</v>
      </c>
      <c r="F80" s="106" t="s">
        <v>1127</v>
      </c>
      <c r="G80" s="107"/>
    </row>
    <row r="81" spans="4:7">
      <c r="D81" s="92" t="s">
        <v>949</v>
      </c>
      <c r="E81" s="92" t="s">
        <v>1088</v>
      </c>
      <c r="F81" s="92" t="s">
        <v>1128</v>
      </c>
      <c r="G81" s="107"/>
    </row>
    <row r="82" spans="4:7">
      <c r="D82" s="92" t="s">
        <v>949</v>
      </c>
      <c r="E82" s="92" t="s">
        <v>1089</v>
      </c>
      <c r="F82" s="92" t="s">
        <v>1129</v>
      </c>
      <c r="G82" s="107"/>
    </row>
    <row r="83" spans="4:7">
      <c r="D83" s="92" t="s">
        <v>949</v>
      </c>
      <c r="E83" s="92" t="s">
        <v>1090</v>
      </c>
      <c r="F83" s="92" t="s">
        <v>1130</v>
      </c>
      <c r="G83" s="107"/>
    </row>
    <row r="84" spans="4:7">
      <c r="D84" s="92" t="s">
        <v>949</v>
      </c>
      <c r="E84" s="92" t="s">
        <v>1091</v>
      </c>
      <c r="F84" s="92" t="s">
        <v>1131</v>
      </c>
      <c r="G84" s="107"/>
    </row>
    <row r="85" spans="4:7">
      <c r="D85" s="92" t="s">
        <v>949</v>
      </c>
      <c r="E85" s="92" t="s">
        <v>1092</v>
      </c>
      <c r="F85" s="92" t="s">
        <v>1132</v>
      </c>
      <c r="G85" s="107"/>
    </row>
    <row r="86" spans="4:7">
      <c r="D86" s="92" t="s">
        <v>949</v>
      </c>
      <c r="E86" s="92" t="s">
        <v>1093</v>
      </c>
      <c r="F86" s="92" t="s">
        <v>1133</v>
      </c>
      <c r="G86" s="107"/>
    </row>
    <row r="87" spans="4:7">
      <c r="D87" s="92" t="s">
        <v>949</v>
      </c>
      <c r="E87" s="92" t="s">
        <v>1094</v>
      </c>
      <c r="F87" s="92" t="s">
        <v>1134</v>
      </c>
      <c r="G87" s="107"/>
    </row>
    <row r="88" spans="4:7">
      <c r="D88" s="92" t="s">
        <v>949</v>
      </c>
      <c r="E88" s="92" t="s">
        <v>1095</v>
      </c>
      <c r="F88" s="92" t="s">
        <v>1135</v>
      </c>
      <c r="G88" s="107"/>
    </row>
    <row r="89" spans="4:7">
      <c r="D89" s="92" t="s">
        <v>949</v>
      </c>
      <c r="E89" s="92" t="s">
        <v>1096</v>
      </c>
      <c r="F89" s="92" t="s">
        <v>1136</v>
      </c>
      <c r="G89" s="107"/>
    </row>
    <row r="90" spans="4:7">
      <c r="D90" s="92" t="s">
        <v>949</v>
      </c>
      <c r="E90" s="92" t="s">
        <v>1097</v>
      </c>
      <c r="F90" s="92" t="s">
        <v>1137</v>
      </c>
      <c r="G90" s="107"/>
    </row>
    <row r="91" spans="4:7">
      <c r="D91" s="92" t="s">
        <v>949</v>
      </c>
      <c r="E91" s="92" t="s">
        <v>1098</v>
      </c>
      <c r="F91" s="92" t="s">
        <v>1138</v>
      </c>
      <c r="G91" s="107"/>
    </row>
    <row r="92" spans="4:7">
      <c r="D92" s="92" t="s">
        <v>949</v>
      </c>
      <c r="E92" s="92" t="s">
        <v>1099</v>
      </c>
      <c r="F92" s="92" t="s">
        <v>1139</v>
      </c>
      <c r="G92" s="107"/>
    </row>
    <row r="93" spans="4:7">
      <c r="D93" s="92" t="s">
        <v>949</v>
      </c>
      <c r="E93" s="92" t="s">
        <v>1100</v>
      </c>
      <c r="F93" s="92" t="s">
        <v>1140</v>
      </c>
      <c r="G93" s="107"/>
    </row>
    <row r="94" spans="4:7">
      <c r="D94" s="92" t="s">
        <v>949</v>
      </c>
      <c r="E94" s="92" t="s">
        <v>1101</v>
      </c>
      <c r="F94" s="92" t="s">
        <v>1141</v>
      </c>
      <c r="G94" s="107"/>
    </row>
    <row r="95" spans="4:7">
      <c r="D95" s="92" t="s">
        <v>949</v>
      </c>
      <c r="E95" s="92" t="s">
        <v>1102</v>
      </c>
      <c r="F95" s="92" t="s">
        <v>1142</v>
      </c>
      <c r="G95" s="107"/>
    </row>
    <row r="96" spans="4:7">
      <c r="D96" s="92" t="s">
        <v>949</v>
      </c>
      <c r="E96" s="92" t="s">
        <v>1103</v>
      </c>
      <c r="F96" s="92" t="s">
        <v>1143</v>
      </c>
      <c r="G96" s="107"/>
    </row>
    <row r="97" spans="4:7">
      <c r="D97" s="92" t="s">
        <v>949</v>
      </c>
      <c r="E97" s="92" t="s">
        <v>1104</v>
      </c>
      <c r="F97" s="92" t="s">
        <v>1144</v>
      </c>
      <c r="G97" s="107"/>
    </row>
    <row r="98" spans="4:7">
      <c r="D98" s="92" t="s">
        <v>949</v>
      </c>
      <c r="E98" s="92" t="s">
        <v>1105</v>
      </c>
      <c r="F98" s="92" t="s">
        <v>1145</v>
      </c>
      <c r="G98" s="108"/>
    </row>
    <row r="99" spans="4:7">
      <c r="D99" s="92" t="s">
        <v>949</v>
      </c>
      <c r="E99" s="92" t="s">
        <v>1106</v>
      </c>
      <c r="F99" s="92" t="s">
        <v>1146</v>
      </c>
      <c r="G99" s="108"/>
    </row>
    <row r="100" spans="4:7">
      <c r="D100" s="92" t="s">
        <v>949</v>
      </c>
      <c r="E100" s="92" t="s">
        <v>1107</v>
      </c>
      <c r="F100" s="92" t="s">
        <v>1147</v>
      </c>
      <c r="G100" s="108"/>
    </row>
    <row r="101" spans="4:7">
      <c r="D101" s="92" t="s">
        <v>949</v>
      </c>
      <c r="E101" s="92" t="s">
        <v>1108</v>
      </c>
      <c r="F101" s="92" t="s">
        <v>1148</v>
      </c>
      <c r="G101" s="108"/>
    </row>
    <row r="102" spans="4:7">
      <c r="D102" s="92" t="s">
        <v>949</v>
      </c>
      <c r="E102" s="92" t="s">
        <v>1109</v>
      </c>
      <c r="F102" s="92" t="s">
        <v>1149</v>
      </c>
      <c r="G102" s="108"/>
    </row>
    <row r="103" spans="4:7">
      <c r="D103" s="92" t="s">
        <v>949</v>
      </c>
      <c r="E103" s="92" t="s">
        <v>1110</v>
      </c>
      <c r="F103" s="92" t="s">
        <v>1150</v>
      </c>
      <c r="G103" s="108"/>
    </row>
    <row r="104" spans="4:7">
      <c r="D104" s="92" t="s">
        <v>949</v>
      </c>
      <c r="E104" s="92" t="s">
        <v>1111</v>
      </c>
      <c r="F104" s="92" t="s">
        <v>1151</v>
      </c>
      <c r="G104" s="107"/>
    </row>
    <row r="105" spans="4:7">
      <c r="D105" s="92" t="s">
        <v>949</v>
      </c>
      <c r="E105" s="92" t="s">
        <v>1112</v>
      </c>
      <c r="F105" s="92" t="s">
        <v>1152</v>
      </c>
      <c r="G105" s="107"/>
    </row>
    <row r="106" spans="4:7">
      <c r="D106" s="92" t="s">
        <v>949</v>
      </c>
      <c r="E106" s="92" t="s">
        <v>1113</v>
      </c>
      <c r="F106" s="92" t="s">
        <v>1153</v>
      </c>
      <c r="G106" s="107"/>
    </row>
    <row r="107" spans="4:7">
      <c r="D107" s="92" t="s">
        <v>949</v>
      </c>
      <c r="E107" s="92" t="s">
        <v>1114</v>
      </c>
      <c r="F107" s="92" t="s">
        <v>1154</v>
      </c>
      <c r="G107" s="107"/>
    </row>
    <row r="108" spans="4:7">
      <c r="D108" s="92" t="s">
        <v>949</v>
      </c>
      <c r="E108" s="92" t="s">
        <v>1115</v>
      </c>
      <c r="F108" s="92" t="s">
        <v>1155</v>
      </c>
      <c r="G108" s="107"/>
    </row>
    <row r="109" spans="4:7">
      <c r="D109" s="92" t="s">
        <v>949</v>
      </c>
      <c r="E109" s="92" t="s">
        <v>1116</v>
      </c>
      <c r="F109" s="92" t="s">
        <v>1156</v>
      </c>
      <c r="G109" s="107"/>
    </row>
    <row r="110" spans="4:7">
      <c r="D110" s="92" t="s">
        <v>949</v>
      </c>
      <c r="E110" s="92" t="s">
        <v>1116</v>
      </c>
      <c r="F110" s="92" t="s">
        <v>950</v>
      </c>
    </row>
    <row r="111" spans="4:7">
      <c r="D111" s="92" t="s">
        <v>951</v>
      </c>
      <c r="E111" s="92" t="s">
        <v>952</v>
      </c>
      <c r="F111" s="92" t="s">
        <v>1157</v>
      </c>
      <c r="G111" s="107"/>
    </row>
    <row r="112" spans="4:7">
      <c r="D112" s="92" t="s">
        <v>951</v>
      </c>
      <c r="E112" s="92" t="s">
        <v>952</v>
      </c>
      <c r="F112" s="92" t="s">
        <v>1158</v>
      </c>
      <c r="G112" s="107"/>
    </row>
    <row r="113" spans="4:4">
      <c r="D113" s="92"/>
    </row>
  </sheetData>
  <dataValidations count="3">
    <dataValidation type="list" allowBlank="1" showInputMessage="1" showErrorMessage="1" sqref="G4">
      <formula1>HCD</formula1>
    </dataValidation>
    <dataValidation type="list" allowBlank="1" showInputMessage="1" showErrorMessage="1" sqref="H4">
      <formula1>HCB</formula1>
    </dataValidation>
    <dataValidation type="list" allowBlank="1" showInputMessage="1" showErrorMessage="1" sqref="I4">
      <formula1>DCB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H3:H12"/>
  <sheetViews>
    <sheetView workbookViewId="0">
      <selection activeCell="H3" sqref="H3:H12"/>
    </sheetView>
  </sheetViews>
  <sheetFormatPr defaultRowHeight="15"/>
  <cols>
    <col min="8" max="8" width="17.42578125" customWidth="1"/>
  </cols>
  <sheetData>
    <row r="3" spans="8:8">
      <c r="H3" s="92" t="s">
        <v>934</v>
      </c>
    </row>
    <row r="4" spans="8:8">
      <c r="H4" s="92" t="s">
        <v>936</v>
      </c>
    </row>
    <row r="5" spans="8:8">
      <c r="H5" s="92" t="s">
        <v>939</v>
      </c>
    </row>
    <row r="6" spans="8:8">
      <c r="H6" s="92" t="s">
        <v>940</v>
      </c>
    </row>
    <row r="7" spans="8:8" ht="45">
      <c r="H7" s="89" t="s">
        <v>941</v>
      </c>
    </row>
    <row r="8" spans="8:8">
      <c r="H8" s="92" t="s">
        <v>943</v>
      </c>
    </row>
    <row r="9" spans="8:8">
      <c r="H9" s="92" t="s">
        <v>95</v>
      </c>
    </row>
    <row r="10" spans="8:8">
      <c r="H10" s="98" t="s">
        <v>944</v>
      </c>
    </row>
    <row r="11" spans="8:8">
      <c r="H11" s="92" t="s">
        <v>50</v>
      </c>
    </row>
    <row r="12" spans="8:8">
      <c r="H12" s="92" t="s">
        <v>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Form_I DP</vt:lpstr>
      <vt:lpstr>Rural</vt:lpstr>
      <vt:lpstr>Urban</vt:lpstr>
      <vt:lpstr>Matrix</vt:lpstr>
      <vt:lpstr>Sheet1</vt:lpstr>
      <vt:lpstr>Sheet2</vt:lpstr>
      <vt:lpstr>HC</vt:lpstr>
      <vt:lpstr>HCD</vt:lpstr>
      <vt:lpstr>'Form_I DP'!Print_Area</vt:lpstr>
      <vt:lpstr>Rural!Print_Area</vt:lpstr>
      <vt:lpstr>Urban!Print_Area</vt:lpstr>
      <vt:lpstr>Rural!Print_Titles</vt:lpstr>
      <vt:lpstr>Urban!Print_Titles</vt:lpstr>
      <vt:lpstr>Statelist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gopal</dc:creator>
  <cp:lastModifiedBy>Ali</cp:lastModifiedBy>
  <cp:lastPrinted>2018-01-05T12:05:17Z</cp:lastPrinted>
  <dcterms:created xsi:type="dcterms:W3CDTF">2016-05-03T04:59:44Z</dcterms:created>
  <dcterms:modified xsi:type="dcterms:W3CDTF">2026-08-02T05:04:52Z</dcterms:modified>
</cp:coreProperties>
</file>